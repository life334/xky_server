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space\apps\product\java\xky_project_server\xky-admin\src\main\resources\reportTemplates\"/>
    </mc:Choice>
  </mc:AlternateContent>
  <bookViews>
    <workbookView windowWidth="23040" windowHeight="9180"/>
  </bookViews>
  <sheets>
    <sheet name="上交-未到账" sheetId="2" r:id="rId1"/>
    <sheet name="截止2026.5月" sheetId="3" r:id="rId2"/>
  </sheets>
  <definedNames>
    <definedName name="_xlnm._FilterDatabase" localSheetId="1" hidden="1">截止2026.5月!$A$1:$T$568</definedName>
    <definedName name="_xlnm._FilterDatabase" localSheetId="0" hidden="1">'上交-未到账'!$A$5:$T$14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<sst xmlns="http://schemas.openxmlformats.org/spreadsheetml/2006/main" count="6173" uniqueCount="797">
  <si>
    <t>地下空间工程中心应收帐款及合同情况统计表</t>
  </si>
  <si>
    <t>单位：元</t>
  </si>
  <si>
    <t>序号</t>
  </si>
  <si>
    <t>所属部门</t>
  </si>
  <si>
    <t>客户全称</t>
  </si>
  <si>
    <t>项目名称</t>
  </si>
  <si>
    <t>合同情况</t>
  </si>
  <si>
    <t>回款情况</t>
  </si>
  <si>
    <t>发票开具情况</t>
  </si>
  <si>
    <t>项目责任人</t>
  </si>
  <si>
    <t>应收账期（欠款时长/月）</t>
  </si>
  <si>
    <t>计划回款情况</t>
  </si>
  <si>
    <t>未到账原因及应对措施</t>
  </si>
  <si>
    <t>备 注</t>
  </si>
  <si>
    <t>合同金额</t>
  </si>
  <si>
    <t>合同编号</t>
  </si>
  <si>
    <t>签订时间</t>
  </si>
  <si>
    <t>完工时间</t>
  </si>
  <si>
    <t>已回款</t>
  </si>
  <si>
    <t>未收金额</t>
  </si>
  <si>
    <t>是否开票</t>
  </si>
  <si>
    <t>开票金额</t>
  </si>
  <si>
    <t>时间</t>
  </si>
  <si>
    <t>金额</t>
  </si>
  <si>
    <t>合    计</t>
  </si>
  <si>
    <r>
      <t>备注</t>
    </r>
    <r>
      <rPr>
        <sz val="11"/>
        <color theme="1"/>
        <rFont val="宋体"/>
        <charset val="134"/>
        <scheme val="minor"/>
      </rPr>
      <t>：1.统计时间截止2026年4月30日之前，本部门全部应收账款及合同情况。</t>
    </r>
  </si>
  <si>
    <r>
      <rPr>
        <sz val="11"/>
        <color theme="1"/>
        <rFont val="宋体"/>
        <charset val="134"/>
        <scheme val="minor"/>
      </rPr>
      <t xml:space="preserve">          2.各部门于2026年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月</t>
    </r>
    <r>
      <rPr>
        <sz val="11"/>
        <color theme="1"/>
        <rFont val="宋体"/>
        <charset val="134"/>
        <scheme val="minor"/>
      </rPr>
      <t>29</t>
    </r>
    <r>
      <rPr>
        <sz val="11"/>
        <color theme="1"/>
        <rFont val="宋体"/>
        <charset val="134"/>
        <scheme val="minor"/>
      </rPr>
      <t>日前报院财务室。</t>
    </r>
  </si>
  <si>
    <t>回款难易程度（难，较难，中等等）</t>
  </si>
  <si>
    <t>地下空间工程中心</t>
  </si>
  <si>
    <t>西安市自来水有限公司</t>
  </si>
  <si>
    <t>控制测量</t>
  </si>
  <si>
    <t>单价合同</t>
  </si>
  <si>
    <r>
      <rPr>
        <sz val="11"/>
        <color theme="1"/>
        <rFont val="宋体"/>
        <charset val="134"/>
        <scheme val="minor"/>
      </rPr>
      <t>CH</t>
    </r>
    <r>
      <rPr>
        <sz val="11"/>
        <rFont val="宋体"/>
        <charset val="134"/>
      </rPr>
      <t>（</t>
    </r>
    <r>
      <rPr>
        <sz val="11"/>
        <rFont val="Symbol"/>
        <charset val="2"/>
      </rPr>
      <t>2025</t>
    </r>
    <r>
      <rPr>
        <sz val="11"/>
        <rFont val="宋体"/>
        <charset val="134"/>
      </rPr>
      <t>）</t>
    </r>
    <r>
      <rPr>
        <sz val="11"/>
        <rFont val="Symbol"/>
        <charset val="2"/>
      </rPr>
      <t>119</t>
    </r>
  </si>
  <si>
    <t>2025年3月14</t>
  </si>
  <si>
    <t>否</t>
  </si>
  <si>
    <t>高启扬</t>
  </si>
  <si>
    <t>定验线未完成，完成后同步付款</t>
  </si>
  <si>
    <t>2024控001</t>
  </si>
  <si>
    <t>较难</t>
  </si>
  <si>
    <t>西安康润能源科技有限公司</t>
  </si>
  <si>
    <t>管线测量</t>
  </si>
  <si>
    <t>-</t>
  </si>
  <si>
    <t>曾致</t>
  </si>
  <si>
    <t>用户项目暂停，无法支付，定期催缴</t>
  </si>
  <si>
    <t>2024管113</t>
  </si>
  <si>
    <t>难</t>
  </si>
  <si>
    <t>西安嘉隆城市开发建设有限公司</t>
  </si>
  <si>
    <t>栗国华</t>
  </si>
  <si>
    <t>2024管195</t>
  </si>
  <si>
    <t>西安排水集团有限公司</t>
  </si>
  <si>
    <t>JY（2026）409</t>
  </si>
  <si>
    <t>2026年6月8</t>
  </si>
  <si>
    <t>依据甲方项目进度回款</t>
  </si>
  <si>
    <t>项目未验收，正在推进验收</t>
  </si>
  <si>
    <t>2024管156</t>
  </si>
  <si>
    <t>中等</t>
  </si>
  <si>
    <t>西安莲湖糖酒食品有限公司</t>
  </si>
  <si>
    <t>管线定线</t>
  </si>
  <si>
    <t>雷刚</t>
  </si>
  <si>
    <t>2024管333</t>
  </si>
  <si>
    <t>西安高新市政建设有限公司</t>
  </si>
  <si>
    <t>用户暂无资金，定期催缴</t>
  </si>
  <si>
    <t>2024管293</t>
  </si>
  <si>
    <t>2024管294</t>
  </si>
  <si>
    <t>2024管292</t>
  </si>
  <si>
    <t>2024管291</t>
  </si>
  <si>
    <t>高新代建项目，合同未签</t>
  </si>
  <si>
    <t>2024管261</t>
  </si>
  <si>
    <t>2024管336</t>
  </si>
  <si>
    <t>西安浐灞发展集团有限公司</t>
  </si>
  <si>
    <t>联系人离职，联系不上原单位</t>
  </si>
  <si>
    <t>2024管435</t>
  </si>
  <si>
    <t>西安高新区市政配套建设有限公司</t>
  </si>
  <si>
    <t>2023管181</t>
  </si>
  <si>
    <t>2023管1601</t>
  </si>
  <si>
    <t>西安曲江大明宫建设开发有限公司</t>
  </si>
  <si>
    <t>管线图修测</t>
  </si>
  <si>
    <t>2024管621</t>
  </si>
  <si>
    <t>西安斯瑞先进铜合金科技有限公司</t>
  </si>
  <si>
    <t>郭志宇</t>
  </si>
  <si>
    <t>2024管666</t>
  </si>
  <si>
    <r>
      <rPr>
        <sz val="11"/>
        <color theme="1"/>
        <rFont val="宋体"/>
        <charset val="134"/>
        <scheme val="minor"/>
      </rPr>
      <t>CH</t>
    </r>
    <r>
      <rPr>
        <sz val="11"/>
        <rFont val="宋体"/>
        <charset val="134"/>
      </rPr>
      <t>（</t>
    </r>
    <r>
      <rPr>
        <sz val="11"/>
        <rFont val="Symbol"/>
        <charset val="2"/>
      </rPr>
      <t>2025</t>
    </r>
    <r>
      <rPr>
        <sz val="11"/>
        <rFont val="宋体"/>
        <charset val="134"/>
      </rPr>
      <t>）</t>
    </r>
    <r>
      <rPr>
        <sz val="11"/>
        <rFont val="Symbol"/>
        <charset val="2"/>
      </rPr>
      <t>039</t>
    </r>
  </si>
  <si>
    <t>2025年2月11</t>
  </si>
  <si>
    <t>是</t>
  </si>
  <si>
    <t>质保金，到期后支付</t>
  </si>
  <si>
    <t>2024管495</t>
  </si>
  <si>
    <t>质保金</t>
  </si>
  <si>
    <t>西安曲江国际发展投资控股有限公司</t>
  </si>
  <si>
    <t>2024管图020</t>
  </si>
  <si>
    <t>西安中盛电力设备工程有限公司</t>
  </si>
  <si>
    <t>2024管图074</t>
  </si>
  <si>
    <t>陕西天耀隆翔城市发展有限公司</t>
  </si>
  <si>
    <t>2024管定024</t>
  </si>
  <si>
    <t>西安秦华燃气集团有限公司</t>
  </si>
  <si>
    <r>
      <rPr>
        <sz val="11"/>
        <color theme="1"/>
        <rFont val="宋体"/>
        <charset val="134"/>
        <scheme val="minor"/>
      </rPr>
      <t>JY</t>
    </r>
    <r>
      <rPr>
        <sz val="11"/>
        <rFont val="宋体"/>
        <charset val="134"/>
      </rPr>
      <t>（</t>
    </r>
    <r>
      <rPr>
        <sz val="11"/>
        <rFont val="Symbol"/>
        <charset val="2"/>
      </rPr>
      <t>2025</t>
    </r>
    <r>
      <rPr>
        <sz val="11"/>
        <rFont val="宋体"/>
        <charset val="134"/>
      </rPr>
      <t>）</t>
    </r>
    <r>
      <rPr>
        <sz val="11"/>
        <rFont val="Symbol"/>
        <charset val="2"/>
      </rPr>
      <t>555</t>
    </r>
  </si>
  <si>
    <t>2025年10月10</t>
  </si>
  <si>
    <t>2024管定040</t>
  </si>
  <si>
    <t>张钊瑞</t>
  </si>
  <si>
    <t>2024管定086</t>
  </si>
  <si>
    <t>2024管定085</t>
  </si>
  <si>
    <r>
      <rPr>
        <sz val="11"/>
        <color theme="1"/>
        <rFont val="宋体"/>
        <charset val="134"/>
        <scheme val="minor"/>
      </rPr>
      <t>CH</t>
    </r>
    <r>
      <rPr>
        <sz val="11"/>
        <rFont val="宋体"/>
        <charset val="134"/>
      </rPr>
      <t>（</t>
    </r>
    <r>
      <rPr>
        <sz val="11"/>
        <rFont val="Symbol"/>
        <charset val="2"/>
      </rPr>
      <t>2025</t>
    </r>
    <r>
      <rPr>
        <sz val="11"/>
        <rFont val="宋体"/>
        <charset val="134"/>
      </rPr>
      <t>）</t>
    </r>
    <r>
      <rPr>
        <sz val="11"/>
        <rFont val="Symbol"/>
        <charset val="2"/>
      </rPr>
      <t>200</t>
    </r>
  </si>
  <si>
    <t>2025年5月6</t>
  </si>
  <si>
    <t>2024管图148</t>
  </si>
  <si>
    <t>三季度</t>
  </si>
  <si>
    <t>2024管定088</t>
  </si>
  <si>
    <t>2024管定089</t>
  </si>
  <si>
    <t>江苏万远建设集团有限公司</t>
  </si>
  <si>
    <t>2024管图274</t>
  </si>
  <si>
    <t>2023管1283</t>
  </si>
  <si>
    <t>2024管定110</t>
  </si>
  <si>
    <t>2024管定109</t>
  </si>
  <si>
    <t>2024管定111</t>
  </si>
  <si>
    <t>控制测量 管线定线</t>
  </si>
  <si>
    <t>2024管定108</t>
  </si>
  <si>
    <t>西安高科软件新城建设开发有限公司</t>
  </si>
  <si>
    <t>2024管839</t>
  </si>
  <si>
    <t>西安排水集团有限公司西郊分公司</t>
  </si>
  <si>
    <t>2024管定164</t>
  </si>
  <si>
    <t>2024管定180</t>
  </si>
  <si>
    <t>2024管定181</t>
  </si>
  <si>
    <t>2024管定168</t>
  </si>
  <si>
    <t>2024管定169</t>
  </si>
  <si>
    <t>2024管定087</t>
  </si>
  <si>
    <t>2024管定084</t>
  </si>
  <si>
    <t>西安市地下管网建设发展有限公司</t>
  </si>
  <si>
    <t>项目暂停</t>
  </si>
  <si>
    <t>2024管定160</t>
  </si>
  <si>
    <t>2024管定163</t>
  </si>
  <si>
    <t>2024管定182</t>
  </si>
  <si>
    <t>2024管定205</t>
  </si>
  <si>
    <t>西安市雁塔区未来城市更新投资集团有限责任公司</t>
  </si>
  <si>
    <t>计划发展处马燕军担保</t>
  </si>
  <si>
    <t>2024管图431</t>
  </si>
  <si>
    <t>合同未签</t>
  </si>
  <si>
    <t>2024管定241</t>
  </si>
  <si>
    <t>2024管定242</t>
  </si>
  <si>
    <t>2024管定237</t>
  </si>
  <si>
    <t>2024管定239</t>
  </si>
  <si>
    <t>2024管定240</t>
  </si>
  <si>
    <t>2024管定244</t>
  </si>
  <si>
    <t>2024管定238</t>
  </si>
  <si>
    <t>2024管定243</t>
  </si>
  <si>
    <t>管线图测量</t>
  </si>
  <si>
    <t>JY(2025)531</t>
  </si>
  <si>
    <t>2025年9月9</t>
  </si>
  <si>
    <t>甲方正在走付款流程</t>
  </si>
  <si>
    <t>2024管图465</t>
  </si>
  <si>
    <t>西安未来产业城投资发展集团有限公司</t>
  </si>
  <si>
    <t>2024管图463</t>
  </si>
  <si>
    <t>2024管定312</t>
  </si>
  <si>
    <t>JY（2026）353</t>
  </si>
  <si>
    <t>2026年5月19</t>
  </si>
  <si>
    <t>2026年8月-10月</t>
  </si>
  <si>
    <t>2024管定339</t>
  </si>
  <si>
    <t>2024管定360</t>
  </si>
  <si>
    <t>2024管图543</t>
  </si>
  <si>
    <t>2024管定359</t>
  </si>
  <si>
    <t>2024管图549</t>
  </si>
  <si>
    <t>中铁第一勘察设计院集团有限公司</t>
  </si>
  <si>
    <t>2024管图541</t>
  </si>
  <si>
    <t>2024管定397</t>
  </si>
  <si>
    <t>2024管定379</t>
  </si>
  <si>
    <t>西安中央文化商务区控股有限公司</t>
  </si>
  <si>
    <t>2024管定446</t>
  </si>
  <si>
    <t>2024管定416</t>
  </si>
  <si>
    <t>国网陕西省电力有限公司西安供电公司</t>
  </si>
  <si>
    <t>2024管图602</t>
  </si>
  <si>
    <t>西安高科城市基础建设有限公司</t>
  </si>
  <si>
    <t>管线实测验线</t>
  </si>
  <si>
    <t>2024管定447</t>
  </si>
  <si>
    <t>西安市水务局</t>
  </si>
  <si>
    <t>该项目为审批处安排事项，不收费</t>
  </si>
  <si>
    <t>2024管图623</t>
  </si>
  <si>
    <t>不收费</t>
  </si>
  <si>
    <t>JY(2026)410</t>
  </si>
  <si>
    <t>合同未签，正在签合同</t>
  </si>
  <si>
    <t>2024管图619</t>
  </si>
  <si>
    <t>西安市清远中水有限公司</t>
  </si>
  <si>
    <t>2024管图593</t>
  </si>
  <si>
    <t>2026年7月-9月</t>
  </si>
  <si>
    <t>项目暂未验收</t>
  </si>
  <si>
    <t>2024管图644</t>
  </si>
  <si>
    <t>2024管定460</t>
  </si>
  <si>
    <t>2024管定510</t>
  </si>
  <si>
    <t>中铁一局集团有限公司</t>
  </si>
  <si>
    <t>用户项目暂无资金，定期催缴</t>
  </si>
  <si>
    <t>2024管图588</t>
  </si>
  <si>
    <t>2024管图615</t>
  </si>
  <si>
    <t>西安锘迪新能源科技有限公司</t>
  </si>
  <si>
    <t>单位主题注销</t>
  </si>
  <si>
    <t>2024管图630</t>
  </si>
  <si>
    <t>中建丝路建设投资有限公司</t>
  </si>
  <si>
    <t>2024管定543</t>
  </si>
  <si>
    <t>农供项目，合同未签</t>
  </si>
  <si>
    <t>2024管图669</t>
  </si>
  <si>
    <t>2024管定560</t>
  </si>
  <si>
    <t>2024管图708</t>
  </si>
  <si>
    <t>西安杰润物业管理有限公司</t>
  </si>
  <si>
    <t>2024管图634</t>
  </si>
  <si>
    <t>CH（2025）067</t>
  </si>
  <si>
    <t>2025年3月10</t>
  </si>
  <si>
    <t>合同内容未完成</t>
  </si>
  <si>
    <t>2024管定552</t>
  </si>
  <si>
    <t>2024管定569</t>
  </si>
  <si>
    <t>2024管定532</t>
  </si>
  <si>
    <t>项目未验收</t>
  </si>
  <si>
    <t>2024管图734</t>
  </si>
  <si>
    <t>2024管定571</t>
  </si>
  <si>
    <t>2024管图635</t>
  </si>
  <si>
    <t>2024管定572</t>
  </si>
  <si>
    <t>陕西远泽电力工程有限公司</t>
  </si>
  <si>
    <t>2024管定586</t>
  </si>
  <si>
    <t>2024管图742</t>
  </si>
  <si>
    <t>2024管图741</t>
  </si>
  <si>
    <t>2025管定001</t>
  </si>
  <si>
    <t>2025管定003</t>
  </si>
  <si>
    <t>2024管图740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</si>
  <si>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Y（2025）735</t>
    </r>
  </si>
  <si>
    <t>2025年12月16</t>
  </si>
  <si>
    <t>付款申请已打，项目资金未到</t>
  </si>
  <si>
    <t>2024管图729</t>
  </si>
  <si>
    <t>CH（2025）325</t>
  </si>
  <si>
    <t>2025年7月1</t>
  </si>
  <si>
    <t>2025管图021</t>
  </si>
  <si>
    <t>2025管定012</t>
  </si>
  <si>
    <t>2025管定010</t>
  </si>
  <si>
    <t>2025管图026</t>
  </si>
  <si>
    <t>2025管图035</t>
  </si>
  <si>
    <t>保证金</t>
  </si>
  <si>
    <t>2025管图037</t>
  </si>
  <si>
    <t>用户项目未立项，合同未签</t>
  </si>
  <si>
    <t>2025管图025</t>
  </si>
  <si>
    <t>2025管图038</t>
  </si>
  <si>
    <t>2025管图033</t>
  </si>
  <si>
    <t>2025管图036</t>
  </si>
  <si>
    <t>2025管定051</t>
  </si>
  <si>
    <t>CH（2025）039</t>
  </si>
  <si>
    <t>2025管定052</t>
  </si>
  <si>
    <t>2025管定056</t>
  </si>
  <si>
    <t>JY（2026）039</t>
  </si>
  <si>
    <t>2025管图094</t>
  </si>
  <si>
    <t>JY（2026）285</t>
  </si>
  <si>
    <t>2026年4月27</t>
  </si>
  <si>
    <t>2025管图030</t>
  </si>
  <si>
    <t>2025管定058</t>
  </si>
  <si>
    <t>2025管定054</t>
  </si>
  <si>
    <t>2025管图101</t>
  </si>
  <si>
    <t>2025管图103</t>
  </si>
  <si>
    <t>2025管图106</t>
  </si>
  <si>
    <t>2025管图057</t>
  </si>
  <si>
    <t>2025管定057</t>
  </si>
  <si>
    <t>2025管图080</t>
  </si>
  <si>
    <t>2025管图079</t>
  </si>
  <si>
    <t>2025管定059</t>
  </si>
  <si>
    <t>管线探测</t>
  </si>
  <si>
    <r>
      <rPr>
        <sz val="11"/>
        <color theme="1"/>
        <rFont val="宋体"/>
        <charset val="134"/>
        <scheme val="minor"/>
      </rPr>
      <t>CH</t>
    </r>
    <r>
      <rPr>
        <sz val="11"/>
        <rFont val="宋体"/>
        <charset val="134"/>
      </rPr>
      <t>（</t>
    </r>
    <r>
      <rPr>
        <sz val="11"/>
        <rFont val="Symbol"/>
        <charset val="2"/>
      </rPr>
      <t>2025</t>
    </r>
    <r>
      <rPr>
        <sz val="11"/>
        <rFont val="宋体"/>
        <charset val="134"/>
      </rPr>
      <t>）</t>
    </r>
    <r>
      <rPr>
        <sz val="11"/>
        <rFont val="Symbol"/>
        <charset val="2"/>
      </rPr>
      <t>027</t>
    </r>
  </si>
  <si>
    <t>2025年1月22</t>
  </si>
  <si>
    <t>2025管定018</t>
  </si>
  <si>
    <t>引测高程 管线定线</t>
  </si>
  <si>
    <t>联系人离职，暂联系不上</t>
  </si>
  <si>
    <t>2025管定063</t>
  </si>
  <si>
    <t>2025管图117</t>
  </si>
  <si>
    <t>2025管定113</t>
  </si>
  <si>
    <t>2025管定118</t>
  </si>
  <si>
    <t>2025管图119</t>
  </si>
  <si>
    <t>JY（2026）041</t>
  </si>
  <si>
    <t>2026年1月15</t>
  </si>
  <si>
    <t>2025管图180</t>
  </si>
  <si>
    <t>2025.3月，质保金，2026年3月6日到账893125.1元（质保金47500元）</t>
  </si>
  <si>
    <t>管线定线 引测高程</t>
  </si>
  <si>
    <t>2025管定126</t>
  </si>
  <si>
    <t>2025管定156</t>
  </si>
  <si>
    <t>2025管定157</t>
  </si>
  <si>
    <t>2025管定158</t>
  </si>
  <si>
    <t>2025管图213</t>
  </si>
  <si>
    <t>2025管图092</t>
  </si>
  <si>
    <t>2025管图093</t>
  </si>
  <si>
    <t>2025管图067</t>
  </si>
  <si>
    <t>2025管图091</t>
  </si>
  <si>
    <t>2025管图105</t>
  </si>
  <si>
    <t>中节能节能科技有限公司西北分公司</t>
  </si>
  <si>
    <t>2025管图236</t>
  </si>
  <si>
    <r>
      <rPr>
        <sz val="11"/>
        <color theme="1"/>
        <rFont val="宋体"/>
        <charset val="134"/>
        <scheme val="minor"/>
      </rPr>
      <t>CH</t>
    </r>
    <r>
      <rPr>
        <sz val="11"/>
        <color theme="1"/>
        <rFont val="宋体"/>
        <charset val="134"/>
      </rPr>
      <t>（</t>
    </r>
    <r>
      <rPr>
        <sz val="11"/>
        <color theme="1"/>
        <rFont val="Symbol"/>
        <charset val="2"/>
      </rPr>
      <t>2025</t>
    </r>
    <r>
      <rPr>
        <sz val="11"/>
        <color theme="1"/>
        <rFont val="宋体"/>
        <charset val="134"/>
      </rPr>
      <t>）</t>
    </r>
    <r>
      <rPr>
        <sz val="11"/>
        <color theme="1"/>
        <rFont val="Symbol"/>
        <charset val="2"/>
      </rPr>
      <t>067</t>
    </r>
  </si>
  <si>
    <t>2025管定194</t>
  </si>
  <si>
    <t>2025管定195</t>
  </si>
  <si>
    <t>2025管定189</t>
  </si>
  <si>
    <t>2025管定160</t>
  </si>
  <si>
    <t>2025管定193</t>
  </si>
  <si>
    <t>2025管图249</t>
  </si>
  <si>
    <t>JY(2026)285</t>
  </si>
  <si>
    <t>2026年4月23</t>
  </si>
  <si>
    <t>2025管图257</t>
  </si>
  <si>
    <t>2025管定215</t>
  </si>
  <si>
    <t>2025管定221</t>
  </si>
  <si>
    <t>2025管图195</t>
  </si>
  <si>
    <t>2025管定224</t>
  </si>
  <si>
    <r>
      <rPr>
        <sz val="11"/>
        <color theme="1"/>
        <rFont val="宋体"/>
        <charset val="134"/>
        <scheme val="minor"/>
      </rPr>
      <t>JY</t>
    </r>
    <r>
      <rPr>
        <sz val="11"/>
        <color theme="1"/>
        <rFont val="宋体"/>
        <charset val="134"/>
      </rPr>
      <t>（</t>
    </r>
    <r>
      <rPr>
        <sz val="11"/>
        <color theme="1"/>
        <rFont val="Symbol"/>
        <charset val="2"/>
      </rPr>
      <t>2026</t>
    </r>
    <r>
      <rPr>
        <sz val="11"/>
        <color theme="1"/>
        <rFont val="宋体"/>
        <charset val="134"/>
      </rPr>
      <t>）</t>
    </r>
    <r>
      <rPr>
        <sz val="11"/>
        <color theme="1"/>
        <rFont val="Symbol"/>
        <charset val="2"/>
      </rPr>
      <t>039</t>
    </r>
  </si>
  <si>
    <t>2025年12月26</t>
  </si>
  <si>
    <t>未提交正式成果</t>
  </si>
  <si>
    <t>2025管图269</t>
  </si>
  <si>
    <t>2025管图193</t>
  </si>
  <si>
    <t>2025管图255</t>
  </si>
  <si>
    <t>2025管图256</t>
  </si>
  <si>
    <t>2025管定223</t>
  </si>
  <si>
    <r>
      <rPr>
        <sz val="11"/>
        <color theme="1"/>
        <rFont val="宋体"/>
        <charset val="134"/>
        <scheme val="minor"/>
      </rPr>
      <t>CH</t>
    </r>
    <r>
      <rPr>
        <sz val="11"/>
        <rFont val="宋体"/>
        <charset val="134"/>
      </rPr>
      <t>（</t>
    </r>
    <r>
      <rPr>
        <sz val="11"/>
        <rFont val="Symbol"/>
        <charset val="2"/>
      </rPr>
      <t>2025</t>
    </r>
    <r>
      <rPr>
        <sz val="11"/>
        <rFont val="宋体"/>
        <charset val="134"/>
      </rPr>
      <t>）</t>
    </r>
    <r>
      <rPr>
        <sz val="11"/>
        <rFont val="Symbol"/>
        <charset val="2"/>
      </rPr>
      <t>288</t>
    </r>
  </si>
  <si>
    <t>2025年6月18</t>
  </si>
  <si>
    <t>2025管图281</t>
  </si>
  <si>
    <t>2025管定213</t>
  </si>
  <si>
    <t>2025管图273</t>
  </si>
  <si>
    <t>2024管图628</t>
  </si>
  <si>
    <t>2025管图253</t>
  </si>
  <si>
    <t>西安中节能城市供热有限公司</t>
  </si>
  <si>
    <t>2025管图280</t>
  </si>
  <si>
    <t>2025管图271</t>
  </si>
  <si>
    <t>2025管图272</t>
  </si>
  <si>
    <t>2025管图307</t>
  </si>
  <si>
    <t>JY（2025）555</t>
  </si>
  <si>
    <t>未招标</t>
  </si>
  <si>
    <t>2025管图315</t>
  </si>
  <si>
    <t>2025管图298</t>
  </si>
  <si>
    <t>2025管图286</t>
  </si>
  <si>
    <t>2025管图328</t>
  </si>
  <si>
    <t>2025管图288</t>
  </si>
  <si>
    <t>2025管图308</t>
  </si>
  <si>
    <t>2025管图330</t>
  </si>
  <si>
    <t>2025管图289</t>
  </si>
  <si>
    <t>陕西秦达建设工程有限公司</t>
  </si>
  <si>
    <t>2025管定298</t>
  </si>
  <si>
    <t>2025管定275</t>
  </si>
  <si>
    <t>2025管定309</t>
  </si>
  <si>
    <t>西安亮丽电力集团有限责任公司</t>
  </si>
  <si>
    <t>2025管定294</t>
  </si>
  <si>
    <t>2025管图359</t>
  </si>
  <si>
    <t>2025管图360</t>
  </si>
  <si>
    <t>2025管图351</t>
  </si>
  <si>
    <t>2025管定325</t>
  </si>
  <si>
    <t>2025管定330</t>
  </si>
  <si>
    <t>2025管图338</t>
  </si>
  <si>
    <t>2025管图353</t>
  </si>
  <si>
    <t>2025管图367</t>
  </si>
  <si>
    <t>2025管定351</t>
  </si>
  <si>
    <t>2025管图378</t>
  </si>
  <si>
    <t>2025管图363</t>
  </si>
  <si>
    <t>2025管图409</t>
  </si>
  <si>
    <t>2025管图401</t>
  </si>
  <si>
    <t>JY（2025）503</t>
  </si>
  <si>
    <t>2025年4月25</t>
  </si>
  <si>
    <t>2025管定356</t>
  </si>
  <si>
    <t>2025管定355</t>
  </si>
  <si>
    <t>2025管定196</t>
  </si>
  <si>
    <t>2025管定346</t>
  </si>
  <si>
    <t>2025管定347</t>
  </si>
  <si>
    <t>2025管定348</t>
  </si>
  <si>
    <t>2025管定349</t>
  </si>
  <si>
    <r>
      <rPr>
        <sz val="11"/>
        <color theme="1"/>
        <rFont val="宋体"/>
        <charset val="134"/>
        <scheme val="minor"/>
      </rPr>
      <t>JY</t>
    </r>
    <r>
      <rPr>
        <sz val="11"/>
        <rFont val="宋体"/>
        <charset val="134"/>
      </rPr>
      <t>（</t>
    </r>
    <r>
      <rPr>
        <sz val="11"/>
        <rFont val="Symbol"/>
        <charset val="2"/>
      </rPr>
      <t>2025</t>
    </r>
    <r>
      <rPr>
        <sz val="11"/>
        <rFont val="宋体"/>
        <charset val="134"/>
      </rPr>
      <t>）</t>
    </r>
    <r>
      <rPr>
        <sz val="11"/>
        <rFont val="Symbol"/>
        <charset val="2"/>
      </rPr>
      <t>556</t>
    </r>
  </si>
  <si>
    <t>2025年10月11</t>
  </si>
  <si>
    <t>2025管图373</t>
  </si>
  <si>
    <t>2025管图379</t>
  </si>
  <si>
    <t>2025管定369</t>
  </si>
  <si>
    <t>JY（2026）118</t>
  </si>
  <si>
    <t>2026年2月11</t>
  </si>
  <si>
    <t>张钊瑞 </t>
  </si>
  <si>
    <t>未到支付日期</t>
  </si>
  <si>
    <t>2025管图372</t>
  </si>
  <si>
    <t>2025管图366</t>
  </si>
  <si>
    <t>2025管图431</t>
  </si>
  <si>
    <t>JY（2025）500</t>
  </si>
  <si>
    <t>2025年4月28</t>
  </si>
  <si>
    <t>2025管定398</t>
  </si>
  <si>
    <t>2025管定436</t>
  </si>
  <si>
    <t>2025管定374</t>
  </si>
  <si>
    <t>2025管定376</t>
  </si>
  <si>
    <t>2025管定456</t>
  </si>
  <si>
    <t>2025管图469</t>
  </si>
  <si>
    <t>2025管定453</t>
  </si>
  <si>
    <t>2025管定452</t>
  </si>
  <si>
    <t>2025管定475</t>
  </si>
  <si>
    <t>2025管定476</t>
  </si>
  <si>
    <t>西安市东关地区建设发展有限公司</t>
  </si>
  <si>
    <t>2025管图471</t>
  </si>
  <si>
    <t>西安高新区城市客厅开发建设有限责任公司</t>
  </si>
  <si>
    <t>2025管定525</t>
  </si>
  <si>
    <t>2025管定454</t>
  </si>
  <si>
    <t>2025管定404</t>
  </si>
  <si>
    <t>试冲管线</t>
  </si>
  <si>
    <t>2025管定498</t>
  </si>
  <si>
    <t>2025管图479</t>
  </si>
  <si>
    <t>CH（2025）388</t>
  </si>
  <si>
    <t>2025年7月11</t>
  </si>
  <si>
    <t>2025管定611</t>
  </si>
  <si>
    <t>排水口项目</t>
  </si>
  <si>
    <t>2025管定508</t>
  </si>
  <si>
    <t>CH（2025）320</t>
  </si>
  <si>
    <t>2025管定579</t>
  </si>
  <si>
    <t>纺渭路项目</t>
  </si>
  <si>
    <t>2025管图510</t>
  </si>
  <si>
    <t>2025管定629</t>
  </si>
  <si>
    <t>JY（2026）071</t>
  </si>
  <si>
    <t>2026年1月30</t>
  </si>
  <si>
    <t>2025管图499</t>
  </si>
  <si>
    <t>2025管定673</t>
  </si>
  <si>
    <t>2025管定608</t>
  </si>
  <si>
    <t>2025管定619</t>
  </si>
  <si>
    <t>2025管定680</t>
  </si>
  <si>
    <t>2025管图539</t>
  </si>
  <si>
    <t>2025管定699</t>
  </si>
  <si>
    <t>2025管定700</t>
  </si>
  <si>
    <t>2025控191</t>
  </si>
  <si>
    <t>西安海天投资控股有限责任公司</t>
  </si>
  <si>
    <t>2025管图550</t>
  </si>
  <si>
    <t>2025管图556</t>
  </si>
  <si>
    <t>2025管定749</t>
  </si>
  <si>
    <t>西安市雁塔区应急管理局</t>
  </si>
  <si>
    <t>管线图测绘</t>
  </si>
  <si>
    <t>2025管图582</t>
  </si>
  <si>
    <t>2025管图570</t>
  </si>
  <si>
    <t>2025管定733</t>
  </si>
  <si>
    <t>2025管定734</t>
  </si>
  <si>
    <t>2025管图597</t>
  </si>
  <si>
    <t>2025管定692</t>
  </si>
  <si>
    <t>正在走付款流程</t>
  </si>
  <si>
    <t>2025管定805</t>
  </si>
  <si>
    <t>2025管定754</t>
  </si>
  <si>
    <t>2025管图557</t>
  </si>
  <si>
    <t>西安市阎良区天宏乡村建设有限公司</t>
  </si>
  <si>
    <t>CH（2025）397</t>
  </si>
  <si>
    <t>2025年8月6</t>
  </si>
  <si>
    <t>2025管定775</t>
  </si>
  <si>
    <t>2025管定802</t>
  </si>
  <si>
    <t>2025管定779</t>
  </si>
  <si>
    <t>2025管定788</t>
  </si>
  <si>
    <t>2025管定791</t>
  </si>
  <si>
    <t>2025管定792</t>
  </si>
  <si>
    <t>2025管定793</t>
  </si>
  <si>
    <t>2025管定801</t>
  </si>
  <si>
    <t>2025管定821</t>
  </si>
  <si>
    <t>2025管定822</t>
  </si>
  <si>
    <t>2025管定778</t>
  </si>
  <si>
    <t>2025管定777</t>
  </si>
  <si>
    <t>2025管定776</t>
  </si>
  <si>
    <t>2025管定790</t>
  </si>
  <si>
    <t>2025管定794</t>
  </si>
  <si>
    <t>2025管定789</t>
  </si>
  <si>
    <t>2025管定820</t>
  </si>
  <si>
    <t>陕西亿恒泰来新材料科技有限公司</t>
  </si>
  <si>
    <t>2025管图613</t>
  </si>
  <si>
    <t>2025管定756</t>
  </si>
  <si>
    <t>2025管定799</t>
  </si>
  <si>
    <t>2025管定800</t>
  </si>
  <si>
    <t>2025管定823</t>
  </si>
  <si>
    <t>西安轨道交通投资发展有限责任公司</t>
  </si>
  <si>
    <t>用户项目未立项，正在签订合同</t>
  </si>
  <si>
    <t>2025管图619</t>
  </si>
  <si>
    <t>2025管图591</t>
  </si>
  <si>
    <t>JY（2025）501</t>
  </si>
  <si>
    <t>2025管定832</t>
  </si>
  <si>
    <t>西安电力设计院有限公司</t>
  </si>
  <si>
    <t>2025管图547</t>
  </si>
  <si>
    <t>CH（2025）294</t>
  </si>
  <si>
    <t>2025管定857</t>
  </si>
  <si>
    <t>老化一批</t>
  </si>
  <si>
    <t>西安未央城市建设集团有限公司</t>
  </si>
  <si>
    <t>2025管图617</t>
  </si>
  <si>
    <t>2025管图627</t>
  </si>
  <si>
    <t>2025管图626</t>
  </si>
  <si>
    <t>2025管定855</t>
  </si>
  <si>
    <t>2025管定856</t>
  </si>
  <si>
    <t>2025管定888</t>
  </si>
  <si>
    <t>合同未签，正在招标</t>
  </si>
  <si>
    <t>2025管图649</t>
  </si>
  <si>
    <t>国网西安市东供电公司</t>
  </si>
  <si>
    <t>2025管定835</t>
  </si>
  <si>
    <t>2025管定895</t>
  </si>
  <si>
    <t>2025管定781</t>
  </si>
  <si>
    <t>2025管图650</t>
  </si>
  <si>
    <t>2025管图651</t>
  </si>
  <si>
    <t>2025管图625</t>
  </si>
  <si>
    <t>2025管定836</t>
  </si>
  <si>
    <t>2025管定925</t>
  </si>
  <si>
    <t>2025管图672</t>
  </si>
  <si>
    <t>2025管图662</t>
  </si>
  <si>
    <t>2025管图668</t>
  </si>
  <si>
    <t>2025管图665</t>
  </si>
  <si>
    <t>2025管图674</t>
  </si>
  <si>
    <t>郭志宇 </t>
  </si>
  <si>
    <t>2025管图667</t>
  </si>
  <si>
    <t>2025管图666</t>
  </si>
  <si>
    <t>2025管定906</t>
  </si>
  <si>
    <t>2025管定926</t>
  </si>
  <si>
    <t>2025管图663</t>
  </si>
  <si>
    <t>2025管图671</t>
  </si>
  <si>
    <t>2025管图664</t>
  </si>
  <si>
    <t>2025管图675</t>
  </si>
  <si>
    <t>2025管图652</t>
  </si>
  <si>
    <t>2025管图676</t>
  </si>
  <si>
    <t>2025管图685</t>
  </si>
  <si>
    <t>2025管图684</t>
  </si>
  <si>
    <t>2025管图681</t>
  </si>
  <si>
    <t>2025管图680</t>
  </si>
  <si>
    <t>2025管图682</t>
  </si>
  <si>
    <t>2025管图686</t>
  </si>
  <si>
    <t>2025管图657</t>
  </si>
  <si>
    <t>2025管定953</t>
  </si>
  <si>
    <t>2025管定972</t>
  </si>
  <si>
    <t>2025管图683</t>
  </si>
  <si>
    <t>2025管图653</t>
  </si>
  <si>
    <t>JY（2025）499</t>
  </si>
  <si>
    <t>2025年5月8</t>
  </si>
  <si>
    <t>2025管定933</t>
  </si>
  <si>
    <t>2025管定968</t>
  </si>
  <si>
    <t>2025管定973</t>
  </si>
  <si>
    <t>2025管定981</t>
  </si>
  <si>
    <t>2025管图699</t>
  </si>
  <si>
    <t>2025控244</t>
  </si>
  <si>
    <t>2025控242</t>
  </si>
  <si>
    <t>转坐标</t>
  </si>
  <si>
    <t>2025转233</t>
  </si>
  <si>
    <t>2025转232</t>
  </si>
  <si>
    <t>2025转234</t>
  </si>
  <si>
    <t>2025转235</t>
  </si>
  <si>
    <t>2025管图709</t>
  </si>
  <si>
    <t>2025管图700</t>
  </si>
  <si>
    <t>2025管图689</t>
  </si>
  <si>
    <t>2025管图697</t>
  </si>
  <si>
    <t>2025管定982</t>
  </si>
  <si>
    <t>2025管图708</t>
  </si>
  <si>
    <t>2025管定986</t>
  </si>
  <si>
    <t>西安东城宜居置业有限公司</t>
  </si>
  <si>
    <t>2025管图717</t>
  </si>
  <si>
    <t>2025管定1067</t>
  </si>
  <si>
    <t>2025管定1099</t>
  </si>
  <si>
    <t>2025管定1097</t>
  </si>
  <si>
    <t>2025管定1096</t>
  </si>
  <si>
    <t>2025管定1040</t>
  </si>
  <si>
    <t>2025管图678</t>
  </si>
  <si>
    <t>2025管定1106</t>
  </si>
  <si>
    <t>2025管定1121</t>
  </si>
  <si>
    <t>2025管定1119</t>
  </si>
  <si>
    <t>2025管定1118</t>
  </si>
  <si>
    <t>2025管图740</t>
  </si>
  <si>
    <t>2025管定1149</t>
  </si>
  <si>
    <t>西安高铁东城建设发展有限公司</t>
  </si>
  <si>
    <t>原长安分院合同，统一结算</t>
  </si>
  <si>
    <t>2025管图744</t>
  </si>
  <si>
    <t>管线实测</t>
  </si>
  <si>
    <t>2025管定1125</t>
  </si>
  <si>
    <t>CH（2025）338</t>
  </si>
  <si>
    <t>2025管定1190</t>
  </si>
  <si>
    <t>2025管图755</t>
  </si>
  <si>
    <t>JY（2025）039</t>
  </si>
  <si>
    <t>2025管定1168</t>
  </si>
  <si>
    <t>2025管图746</t>
  </si>
  <si>
    <t>西安高新区热力有限公司</t>
  </si>
  <si>
    <r>
      <rPr>
        <sz val="11"/>
        <color theme="1"/>
        <rFont val="宋体"/>
        <charset val="134"/>
        <scheme val="minor"/>
      </rPr>
      <t>CH</t>
    </r>
    <r>
      <rPr>
        <sz val="11"/>
        <color theme="1"/>
        <rFont val="宋体"/>
        <charset val="134"/>
      </rPr>
      <t>（</t>
    </r>
    <r>
      <rPr>
        <sz val="11"/>
        <color theme="1"/>
        <rFont val="Symbol"/>
        <charset val="2"/>
      </rPr>
      <t>2025</t>
    </r>
    <r>
      <rPr>
        <sz val="11"/>
        <color theme="1"/>
        <rFont val="宋体"/>
        <charset val="134"/>
      </rPr>
      <t>）</t>
    </r>
    <r>
      <rPr>
        <sz val="11"/>
        <color theme="1"/>
        <rFont val="Symbol"/>
        <charset val="2"/>
      </rPr>
      <t>378</t>
    </r>
  </si>
  <si>
    <t>2025年7月29</t>
  </si>
  <si>
    <t>付款申请已打，计划7月到账</t>
  </si>
  <si>
    <t>2026管定005</t>
  </si>
  <si>
    <r>
      <rPr>
        <sz val="11"/>
        <color theme="1"/>
        <rFont val="宋体"/>
        <charset val="134"/>
        <scheme val="minor"/>
      </rPr>
      <t>JY</t>
    </r>
    <r>
      <rPr>
        <sz val="11"/>
        <color theme="1"/>
        <rFont val="宋体"/>
        <charset val="134"/>
      </rPr>
      <t>（</t>
    </r>
    <r>
      <rPr>
        <sz val="11"/>
        <color theme="1"/>
        <rFont val="Symbol"/>
        <charset val="2"/>
      </rPr>
      <t>2025</t>
    </r>
    <r>
      <rPr>
        <sz val="11"/>
        <color theme="1"/>
        <rFont val="宋体"/>
        <charset val="134"/>
      </rPr>
      <t>）</t>
    </r>
    <r>
      <rPr>
        <sz val="11"/>
        <color theme="1"/>
        <rFont val="Symbol"/>
        <charset val="2"/>
      </rPr>
      <t>501</t>
    </r>
  </si>
  <si>
    <t>2026年4月28</t>
  </si>
  <si>
    <t>2026管定002</t>
  </si>
  <si>
    <t>2026管定001</t>
  </si>
  <si>
    <t>西安市鄠邑区城乡水务有限公司</t>
  </si>
  <si>
    <t>JY（2026）089</t>
  </si>
  <si>
    <t>2026年2月4</t>
  </si>
  <si>
    <t>2026管图016</t>
  </si>
  <si>
    <t>2025管图757</t>
  </si>
  <si>
    <t>2025管图745</t>
  </si>
  <si>
    <t>2026管定017</t>
  </si>
  <si>
    <t>JY（2026）353、JY（2026）040</t>
  </si>
  <si>
    <r>
      <rPr>
        <sz val="11"/>
        <color theme="1"/>
        <rFont val="Symbol"/>
        <charset val="2"/>
      </rPr>
      <t>2026</t>
    </r>
    <r>
      <rPr>
        <sz val="11"/>
        <color theme="1"/>
        <rFont val="宋体"/>
        <charset val="134"/>
      </rPr>
      <t>年</t>
    </r>
    <r>
      <rPr>
        <sz val="11"/>
        <color theme="1"/>
        <rFont val="Symbol"/>
        <charset val="2"/>
      </rPr>
      <t>5</t>
    </r>
    <r>
      <rPr>
        <sz val="11"/>
        <color theme="1"/>
        <rFont val="宋体"/>
        <charset val="134"/>
      </rPr>
      <t>月</t>
    </r>
    <r>
      <rPr>
        <sz val="11"/>
        <color theme="1"/>
        <rFont val="Symbol"/>
        <charset val="2"/>
      </rPr>
      <t>19</t>
    </r>
    <r>
      <rPr>
        <sz val="11"/>
        <color theme="1"/>
        <rFont val="宋体"/>
        <charset val="134"/>
      </rPr>
      <t>、</t>
    </r>
    <r>
      <rPr>
        <sz val="11"/>
        <color theme="1"/>
        <rFont val="Symbol"/>
        <charset val="2"/>
      </rPr>
      <t>2026</t>
    </r>
    <r>
      <rPr>
        <sz val="11"/>
        <color theme="1"/>
        <rFont val="宋体"/>
        <charset val="134"/>
      </rPr>
      <t>年</t>
    </r>
    <r>
      <rPr>
        <sz val="11"/>
        <color theme="1"/>
        <rFont val="Symbol"/>
        <charset val="2"/>
      </rPr>
      <t>1</t>
    </r>
    <r>
      <rPr>
        <sz val="11"/>
        <color theme="1"/>
        <rFont val="宋体"/>
        <charset val="134"/>
      </rPr>
      <t>月</t>
    </r>
    <r>
      <rPr>
        <sz val="11"/>
        <color theme="1"/>
        <rFont val="Symbol"/>
        <charset val="2"/>
      </rPr>
      <t>15</t>
    </r>
  </si>
  <si>
    <t>2026管图032</t>
  </si>
  <si>
    <t>2026管图018</t>
  </si>
  <si>
    <t>2026管图019</t>
  </si>
  <si>
    <t>2026管图017</t>
  </si>
  <si>
    <t>2026管图020</t>
  </si>
  <si>
    <t>2026管图022</t>
  </si>
  <si>
    <t>西安浐灞城市投资建设有限公司</t>
  </si>
  <si>
    <t>2026管定034</t>
  </si>
  <si>
    <t>2025管图753</t>
  </si>
  <si>
    <t>2026管定016</t>
  </si>
  <si>
    <t>2026管图030</t>
  </si>
  <si>
    <t>2026管图010</t>
  </si>
  <si>
    <t>西安市引汉济渭工程建设管理有限公司</t>
  </si>
  <si>
    <t>管线定验线项目未完，完成后同步付款</t>
  </si>
  <si>
    <t>2026控004</t>
  </si>
  <si>
    <t>2026年5月19、2026年1月15</t>
  </si>
  <si>
    <t>2026管图027</t>
  </si>
  <si>
    <t>2026管图029</t>
  </si>
  <si>
    <t>2026管图011</t>
  </si>
  <si>
    <t>2026管图066</t>
  </si>
  <si>
    <t>西安高新技术产业开发区公共项目建设管理中心</t>
  </si>
  <si>
    <t>2026管图047</t>
  </si>
  <si>
    <t>2026管图038</t>
  </si>
  <si>
    <t>2026管图064</t>
  </si>
  <si>
    <t>2025管图754</t>
  </si>
  <si>
    <t>2026管定039</t>
  </si>
  <si>
    <t>2026管定049</t>
  </si>
  <si>
    <t>2026管定048</t>
  </si>
  <si>
    <t>2026管定047</t>
  </si>
  <si>
    <t>2026管图040</t>
  </si>
  <si>
    <t>2026管图045</t>
  </si>
  <si>
    <t>2026管图039</t>
  </si>
  <si>
    <t>2026管图073</t>
  </si>
  <si>
    <t>2026管图074</t>
  </si>
  <si>
    <t>2026管图055</t>
  </si>
  <si>
    <t>西安西联供热有限公司</t>
  </si>
  <si>
    <t>项目资金未到，已约定8月支付</t>
  </si>
  <si>
    <t>2026管图070</t>
  </si>
  <si>
    <t>2026管图075</t>
  </si>
  <si>
    <r>
      <rPr>
        <sz val="11"/>
        <color theme="1"/>
        <rFont val="宋体"/>
        <charset val="134"/>
        <scheme val="minor"/>
      </rPr>
      <t>JY</t>
    </r>
    <r>
      <rPr>
        <sz val="11"/>
        <color theme="1"/>
        <rFont val="宋体"/>
        <charset val="134"/>
      </rPr>
      <t>（</t>
    </r>
    <r>
      <rPr>
        <sz val="11"/>
        <color theme="1"/>
        <rFont val="Symbol"/>
        <charset val="2"/>
      </rPr>
      <t>2026</t>
    </r>
    <r>
      <rPr>
        <sz val="11"/>
        <color theme="1"/>
        <rFont val="宋体"/>
        <charset val="134"/>
      </rPr>
      <t>）</t>
    </r>
    <r>
      <rPr>
        <sz val="11"/>
        <color theme="1"/>
        <rFont val="Symbol"/>
        <charset val="2"/>
      </rPr>
      <t>245</t>
    </r>
  </si>
  <si>
    <t>2026年4月13</t>
  </si>
  <si>
    <t>2026管定083</t>
  </si>
  <si>
    <t>2026管定055</t>
  </si>
  <si>
    <t>2026管图046</t>
  </si>
  <si>
    <t>2026管图041</t>
  </si>
  <si>
    <t>2026管图076</t>
  </si>
  <si>
    <t>2026管图077</t>
  </si>
  <si>
    <t>2026管图056</t>
  </si>
  <si>
    <t>2026管图057</t>
  </si>
  <si>
    <t>2026管图060</t>
  </si>
  <si>
    <t>2026管图080</t>
  </si>
  <si>
    <t>2026管图081</t>
  </si>
  <si>
    <t>2026管图082</t>
  </si>
  <si>
    <t>2026管图096</t>
  </si>
  <si>
    <t>2026管图083</t>
  </si>
  <si>
    <t>西安市莲湖区消防救援大队</t>
  </si>
  <si>
    <t>2026管图093</t>
  </si>
  <si>
    <t>2026管图092</t>
  </si>
  <si>
    <t>CH（2025）289</t>
  </si>
  <si>
    <t>2026管定093</t>
  </si>
  <si>
    <t>控制</t>
  </si>
  <si>
    <t>2026控015</t>
  </si>
  <si>
    <t>2026管图094</t>
  </si>
  <si>
    <t>2026管图091</t>
  </si>
  <si>
    <t>曾致 </t>
  </si>
  <si>
    <t>2026管图097</t>
  </si>
  <si>
    <t>2026管图102</t>
  </si>
  <si>
    <t>2026管图101</t>
  </si>
  <si>
    <t>2026管图085</t>
  </si>
  <si>
    <t>2026管图103</t>
  </si>
  <si>
    <t>2026管图105</t>
  </si>
  <si>
    <t>2026管图104</t>
  </si>
  <si>
    <t>2026管图107</t>
  </si>
  <si>
    <t>2026管图099</t>
  </si>
  <si>
    <t>2026管图106</t>
  </si>
  <si>
    <t>2026管图108</t>
  </si>
  <si>
    <t>2026管图109</t>
  </si>
  <si>
    <t>2026管定106</t>
  </si>
  <si>
    <t>2026管图042</t>
  </si>
  <si>
    <t>2026管图112</t>
  </si>
  <si>
    <t>2026管图061</t>
  </si>
  <si>
    <r>
      <rPr>
        <sz val="11"/>
        <rFont val="Symbol"/>
        <charset val="2"/>
      </rPr>
      <t>CH</t>
    </r>
    <r>
      <rPr>
        <sz val="11"/>
        <rFont val="宋体"/>
        <charset val="134"/>
      </rPr>
      <t>（</t>
    </r>
    <r>
      <rPr>
        <sz val="11"/>
        <rFont val="Symbol"/>
        <charset val="2"/>
      </rPr>
      <t>2025</t>
    </r>
    <r>
      <rPr>
        <sz val="11"/>
        <rFont val="宋体"/>
        <charset val="134"/>
      </rPr>
      <t>）</t>
    </r>
    <r>
      <rPr>
        <sz val="11"/>
        <rFont val="Symbol"/>
        <charset val="2"/>
      </rPr>
      <t>119</t>
    </r>
  </si>
  <si>
    <t>2026管定102</t>
  </si>
  <si>
    <t>2026管定107</t>
  </si>
  <si>
    <t>2026管定108</t>
  </si>
  <si>
    <t>2026管图114</t>
  </si>
  <si>
    <t>2026管定117</t>
  </si>
  <si>
    <t>2026管图119</t>
  </si>
  <si>
    <t>2026管图100</t>
  </si>
  <si>
    <t>雷刚 </t>
  </si>
  <si>
    <t>2026管定112</t>
  </si>
  <si>
    <t>2026管定113</t>
  </si>
  <si>
    <t>2026管定115</t>
  </si>
  <si>
    <t>2026管定123</t>
  </si>
  <si>
    <t>2026管图118</t>
  </si>
  <si>
    <t>2026管定132</t>
  </si>
  <si>
    <t>西安市热力集团有限责任公司</t>
  </si>
  <si>
    <t>付款申请已打，预计6月支付</t>
  </si>
  <si>
    <t>2026管图090</t>
  </si>
  <si>
    <t>CH（2025）119</t>
  </si>
  <si>
    <t>2026管定116</t>
  </si>
  <si>
    <t>2026管图117</t>
  </si>
  <si>
    <t>西安汇成自来水安装工程有限责任公司</t>
  </si>
  <si>
    <t>2026管图136</t>
  </si>
  <si>
    <t>2026管图141</t>
  </si>
  <si>
    <t>2026管定114</t>
  </si>
  <si>
    <t>2026管图144</t>
  </si>
  <si>
    <t>2026管图116</t>
  </si>
  <si>
    <t>2026管图098</t>
  </si>
  <si>
    <t>2026转070</t>
  </si>
  <si>
    <t>2026管定144</t>
  </si>
  <si>
    <t>合同未签，正在推进</t>
  </si>
  <si>
    <t>2026管定137</t>
  </si>
  <si>
    <t>JY（2026）246</t>
  </si>
  <si>
    <t>2026管定130</t>
  </si>
  <si>
    <t>2026管定129</t>
  </si>
  <si>
    <t>2026管图139</t>
  </si>
  <si>
    <t>西安曲江国际会展投资控股有限公司</t>
  </si>
  <si>
    <t>2026管定146</t>
  </si>
  <si>
    <t>中铁一局集团铁路建设有限公司</t>
  </si>
  <si>
    <t>JY（2026）255</t>
  </si>
  <si>
    <t>2026年4月17</t>
  </si>
  <si>
    <t>2026管图130</t>
  </si>
  <si>
    <t>2026管图170</t>
  </si>
  <si>
    <t>2026管图168</t>
  </si>
  <si>
    <t>2026管图169</t>
  </si>
  <si>
    <t>2026管图140</t>
  </si>
  <si>
    <t>实测   </t>
  </si>
  <si>
    <t>2026实010</t>
  </si>
  <si>
    <t>2026管图176</t>
  </si>
  <si>
    <t>2026管图165</t>
  </si>
  <si>
    <t>国网西安市北供电公司</t>
  </si>
  <si>
    <t>2026管定162</t>
  </si>
  <si>
    <t>2026管图173</t>
  </si>
  <si>
    <t>2026管图163</t>
  </si>
  <si>
    <t>2026管图177</t>
  </si>
  <si>
    <t>2026管图174</t>
  </si>
  <si>
    <t>付款申请已打，预计7月支付</t>
  </si>
  <si>
    <t>2026管定167</t>
  </si>
  <si>
    <t>2026管定163</t>
  </si>
  <si>
    <t>2026管图181</t>
  </si>
  <si>
    <t>2026管图157</t>
  </si>
  <si>
    <t>2026管图158</t>
  </si>
  <si>
    <t>2026管定170</t>
  </si>
  <si>
    <t>2026管定169</t>
  </si>
  <si>
    <t>2026管图175</t>
  </si>
  <si>
    <t>JY（2025）531</t>
  </si>
  <si>
    <t>2026管定152</t>
  </si>
  <si>
    <t>2026管图196</t>
  </si>
  <si>
    <t>2026管图186</t>
  </si>
  <si>
    <t>2026管图190</t>
  </si>
  <si>
    <t>2026管图194</t>
  </si>
  <si>
    <t>2026管图187</t>
  </si>
  <si>
    <t>2026管图189</t>
  </si>
  <si>
    <t>2026管图166</t>
  </si>
  <si>
    <t>西安优耐特容器制造有限公司</t>
  </si>
  <si>
    <t>2026管图191</t>
  </si>
  <si>
    <t>2026管图160</t>
  </si>
  <si>
    <t>2026管图167</t>
  </si>
  <si>
    <t>2026管图138</t>
  </si>
  <si>
    <t>2026管图172</t>
  </si>
  <si>
    <t>西安市第三中学</t>
  </si>
  <si>
    <t>JY（2026）363</t>
  </si>
  <si>
    <t>2026管图162</t>
  </si>
  <si>
    <t>2026管定166</t>
  </si>
  <si>
    <t>2026管图201</t>
  </si>
  <si>
    <t>2026管图204</t>
  </si>
  <si>
    <t>2026管图200</t>
  </si>
  <si>
    <t>2026管图207</t>
  </si>
  <si>
    <t>2026管定179</t>
  </si>
  <si>
    <t>2026管图203</t>
  </si>
  <si>
    <t>2026管图198</t>
  </si>
  <si>
    <t>2026管图199</t>
  </si>
  <si>
    <t>2026管图209</t>
  </si>
  <si>
    <t>2026管图210</t>
  </si>
  <si>
    <t>2026管图208</t>
  </si>
  <si>
    <t>2026管定205</t>
  </si>
  <si>
    <t>2026管图202</t>
  </si>
  <si>
    <t>西安亮丽电力集团有限责任公司市南电力工程分公司</t>
  </si>
  <si>
    <t>资金已报，计划6月支付</t>
  </si>
  <si>
    <t>2026管定216</t>
  </si>
  <si>
    <t>2026控061</t>
  </si>
  <si>
    <t>2026管图216</t>
  </si>
  <si>
    <t>2026管定197</t>
  </si>
  <si>
    <t>2026管图219</t>
  </si>
  <si>
    <t>2026管定217</t>
  </si>
  <si>
    <t>2026管图229</t>
  </si>
  <si>
    <t>2026管定209</t>
  </si>
  <si>
    <t>西安市房地产经营三公司</t>
  </si>
  <si>
    <t>2026管定206</t>
  </si>
  <si>
    <t>2026管图234</t>
  </si>
  <si>
    <t>2026管图236</t>
  </si>
  <si>
    <t>2026管图230</t>
  </si>
  <si>
    <t>JY（2025）625</t>
  </si>
  <si>
    <t>2025年11月4</t>
  </si>
  <si>
    <t>2026管定231</t>
  </si>
  <si>
    <t>2026管定233</t>
  </si>
  <si>
    <t>2026管定232</t>
  </si>
  <si>
    <t>2026管定234</t>
  </si>
  <si>
    <t>2026管定235</t>
  </si>
  <si>
    <t>2026管图235</t>
  </si>
  <si>
    <t>2026管图243</t>
  </si>
  <si>
    <t>2026管图242</t>
  </si>
  <si>
    <t>2026管图227</t>
  </si>
  <si>
    <t>西安轨道保租房建设租赁有限公司</t>
  </si>
  <si>
    <t>2026管定224</t>
  </si>
  <si>
    <t>2026管定225</t>
  </si>
  <si>
    <t>2026管定237</t>
  </si>
  <si>
    <t>2026管图231</t>
  </si>
  <si>
    <t>2026管定240</t>
  </si>
  <si>
    <t>2026管图232</t>
  </si>
  <si>
    <t>2026管图245</t>
  </si>
  <si>
    <t>2026管图259</t>
  </si>
  <si>
    <t>2026管图246</t>
  </si>
  <si>
    <t>2026管定243</t>
  </si>
  <si>
    <t>2026管定254</t>
  </si>
  <si>
    <t>2026管定266</t>
  </si>
  <si>
    <t>2026管定267</t>
  </si>
  <si>
    <t>2026管图268</t>
  </si>
  <si>
    <t>2026管图297</t>
  </si>
  <si>
    <t>2026管图274</t>
  </si>
  <si>
    <t>2026管图280</t>
  </si>
  <si>
    <t>2026管图272</t>
  </si>
  <si>
    <t>西安巨子医疗器械有限公司</t>
  </si>
  <si>
    <t>2024管175</t>
  </si>
  <si>
    <t>2026管图281</t>
  </si>
  <si>
    <r>
      <rPr>
        <b/>
        <sz val="11"/>
        <color rgb="FFFF0000"/>
        <rFont val="宋体"/>
        <charset val="134"/>
        <scheme val="minor"/>
      </rPr>
      <t>备注</t>
    </r>
    <r>
      <rPr>
        <sz val="11"/>
        <color theme="1"/>
        <rFont val="宋体"/>
        <charset val="134"/>
        <scheme val="minor"/>
      </rPr>
      <t>：1.统计时间截止2026年5月30日之前，本部门全部应收账款及合同情况。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</si>
</sst>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.0_ "/>
  </numFmts>
  <fonts count="40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rgb="FFFFFF00"/>
      <name val="宋体"/>
      <charset val="134"/>
      <scheme val="minor"/>
    </font>
    <font>
      <b/>
      <sz val="12"/>
      <color rgb="FFFFFF00"/>
      <name val="宋体"/>
      <charset val="134"/>
    </font>
    <font>
      <sz val="10"/>
      <color theme="1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Symbol"/>
      <charset val="2"/>
    </font>
    <font>
      <sz val="9"/>
      <color theme="1"/>
      <name val="宋体"/>
      <charset val="134"/>
      <scheme val="minor"/>
    </font>
    <font>
      <sz val="11"/>
      <name val="Symbol"/>
      <charset val="2"/>
    </font>
    <font>
      <b/>
      <sz val="10"/>
      <color rgb="FFFFFF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0000"/>
      <name val="宋体"/>
      <charset val="134"/>
    </font>
    <font>
      <b/>
      <sz val="18"/>
      <color theme="1"/>
      <name val="黑体"/>
      <charset val="134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等线"/>
      <charset val="134"/>
    </font>
    <font>
      <sz val="1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12" applyNumberFormat="0" applyAlignment="0" applyProtection="0">
      <alignment vertical="center"/>
    </xf>
    <xf numFmtId="0" fontId="28" fillId="9" borderId="13" applyNumberFormat="0" applyAlignment="0" applyProtection="0">
      <alignment vertical="center"/>
    </xf>
    <xf numFmtId="0" fontId="29" fillId="9" borderId="12" applyNumberFormat="0" applyAlignment="0" applyProtection="0">
      <alignment vertical="center"/>
    </xf>
    <xf numFmtId="0" fontId="30" fillId="10" borderId="14" applyNumberFormat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0" fillId="0" borderId="0" applyBorder="0"/>
    <xf numFmtId="0" fontId="38" fillId="0" borderId="0">
      <alignment vertical="center"/>
    </xf>
  </cellStyleXfs>
  <cellXfs count="16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0" xfId="0" applyNumberFormat="1" applyFont="1">
      <alignment vertical="center"/>
    </xf>
    <xf numFmtId="176" fontId="1" fillId="0" borderId="0" xfId="0" applyNumberFormat="1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44" fontId="6" fillId="2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44" fontId="1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/>
    </xf>
    <xf numFmtId="176" fontId="0" fillId="3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vertical="center" wrapText="1"/>
    </xf>
    <xf numFmtId="57" fontId="0" fillId="3" borderId="1" xfId="0" applyNumberFormat="1" applyFont="1" applyFill="1" applyBorder="1" applyAlignment="1">
      <alignment horizontal="center" vertical="center" wrapText="1"/>
    </xf>
    <xf numFmtId="0" fontId="0" fillId="3" borderId="0" xfId="0" applyFont="1" applyFill="1" applyAlignment="1">
      <alignment vertical="center" wrapText="1"/>
    </xf>
    <xf numFmtId="0" fontId="0" fillId="3" borderId="0" xfId="0" applyFill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44" fontId="1" fillId="4" borderId="1" xfId="0" applyNumberFormat="1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 wrapText="1"/>
    </xf>
    <xf numFmtId="57" fontId="0" fillId="4" borderId="1" xfId="0" applyNumberFormat="1" applyFont="1" applyFill="1" applyBorder="1" applyAlignment="1">
      <alignment horizontal="center" vertical="center"/>
    </xf>
    <xf numFmtId="0" fontId="0" fillId="4" borderId="0" xfId="0" applyFont="1" applyFill="1" applyAlignment="1">
      <alignment vertical="center" wrapText="1"/>
    </xf>
    <xf numFmtId="0" fontId="0" fillId="4" borderId="0" xfId="0" applyFill="1">
      <alignment vertical="center"/>
    </xf>
    <xf numFmtId="0" fontId="0" fillId="4" borderId="0" xfId="0" applyFill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176" fontId="10" fillId="5" borderId="1" xfId="0" applyNumberFormat="1" applyFont="1" applyFill="1" applyBorder="1" applyAlignment="1">
      <alignment horizontal="center" vertical="center"/>
    </xf>
    <xf numFmtId="176" fontId="11" fillId="5" borderId="1" xfId="0" applyNumberFormat="1" applyFont="1" applyFill="1" applyBorder="1" applyAlignment="1">
      <alignment horizontal="center" vertical="center"/>
    </xf>
    <xf numFmtId="176" fontId="0" fillId="5" borderId="1" xfId="0" applyNumberFormat="1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5" borderId="0" xfId="0" applyFill="1">
      <alignment vertical="center"/>
    </xf>
    <xf numFmtId="176" fontId="1" fillId="3" borderId="1" xfId="0" applyNumberFormat="1" applyFont="1" applyFill="1" applyBorder="1" applyAlignment="1">
      <alignment horizontal="center" vertical="center"/>
    </xf>
    <xf numFmtId="57" fontId="0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44" fontId="1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57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Border="1" applyAlignment="1">
      <alignment horizontal="center" vertical="center"/>
    </xf>
    <xf numFmtId="176" fontId="9" fillId="4" borderId="1" xfId="0" applyNumberFormat="1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44" fontId="1" fillId="5" borderId="1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vertical="center" wrapText="1"/>
    </xf>
    <xf numFmtId="176" fontId="0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57" fontId="0" fillId="2" borderId="1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 wrapText="1"/>
    </xf>
    <xf numFmtId="0" fontId="0" fillId="6" borderId="0" xfId="0" applyFont="1" applyFill="1" applyAlignment="1">
      <alignment vertical="center" wrapText="1"/>
    </xf>
    <xf numFmtId="0" fontId="0" fillId="4" borderId="0" xfId="0" applyFill="1" applyBorder="1" applyAlignment="1">
      <alignment vertical="center" wrapText="1"/>
    </xf>
    <xf numFmtId="0" fontId="0" fillId="5" borderId="0" xfId="0" applyFont="1" applyFill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176" fontId="11" fillId="3" borderId="1" xfId="0" applyNumberFormat="1" applyFont="1" applyFill="1" applyBorder="1" applyAlignment="1">
      <alignment horizontal="center" vertical="center"/>
    </xf>
    <xf numFmtId="44" fontId="11" fillId="0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44" fontId="11" fillId="3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0" fillId="0" borderId="1" xfId="0" applyNumberFormat="1" applyFont="1" applyBorder="1" applyAlignment="1">
      <alignment horizontal="center" vertical="center" wrapText="1"/>
    </xf>
    <xf numFmtId="176" fontId="11" fillId="0" borderId="1" xfId="0" applyNumberFormat="1" applyFont="1" applyFill="1" applyBorder="1" applyAlignment="1">
      <alignment horizontal="center" vertical="center" wrapText="1"/>
    </xf>
    <xf numFmtId="44" fontId="13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44" fontId="5" fillId="2" borderId="1" xfId="0" applyNumberFormat="1" applyFont="1" applyFill="1" applyBorder="1" applyAlignment="1">
      <alignment horizontal="center" vertical="center"/>
    </xf>
    <xf numFmtId="44" fontId="14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44" fontId="5" fillId="2" borderId="1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44" fontId="0" fillId="0" borderId="0" xfId="0" applyNumberFormat="1">
      <alignment vertical="center"/>
    </xf>
    <xf numFmtId="44" fontId="0" fillId="0" borderId="0" xfId="0" applyNumberFormat="1" applyAlignment="1">
      <alignment horizontal="center" vertical="center"/>
    </xf>
    <xf numFmtId="44" fontId="0" fillId="0" borderId="0" xfId="0" applyNumberFormat="1" applyFont="1">
      <alignment vertical="center"/>
    </xf>
    <xf numFmtId="44" fontId="17" fillId="0" borderId="0" xfId="0" applyNumberFormat="1" applyFont="1" applyAlignment="1">
      <alignment horizontal="center" vertical="center"/>
    </xf>
    <xf numFmtId="44" fontId="17" fillId="0" borderId="0" xfId="0" applyNumberFormat="1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44" fontId="8" fillId="2" borderId="1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44" fontId="1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/>
    </xf>
    <xf numFmtId="57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44" fontId="11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44" fontId="5" fillId="0" borderId="1" xfId="0" applyNumberFormat="1" applyFont="1" applyFill="1" applyBorder="1" applyAlignment="1">
      <alignment horizontal="center" vertical="center"/>
    </xf>
    <xf numFmtId="44" fontId="8" fillId="0" borderId="1" xfId="0" applyNumberFormat="1" applyFont="1" applyFill="1" applyBorder="1" applyAlignment="1">
      <alignment horizontal="center" vertical="center"/>
    </xf>
    <xf numFmtId="44" fontId="14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center" vertical="center"/>
    </xf>
    <xf numFmtId="44" fontId="1" fillId="4" borderId="1" xfId="0" applyNumberFormat="1" applyFont="1" applyFill="1" applyBorder="1" applyAlignment="1" quotePrefix="1">
      <alignment horizontal="center" vertical="center"/>
    </xf>
    <xf numFmtId="176" fontId="1" fillId="4" borderId="1" xfId="0" applyNumberFormat="1" applyFont="1" applyFill="1" applyBorder="1" applyAlignment="1" quotePrefix="1">
      <alignment horizontal="center" vertical="center"/>
    </xf>
    <xf numFmtId="44" fontId="1" fillId="3" borderId="1" xfId="0" applyNumberFormat="1" applyFont="1" applyFill="1" applyBorder="1" applyAlignment="1" quotePrefix="1">
      <alignment horizontal="center" vertical="center"/>
    </xf>
    <xf numFmtId="176" fontId="1" fillId="3" borderId="1" xfId="0" applyNumberFormat="1" applyFont="1" applyFill="1" applyBorder="1" applyAlignment="1" quotePrefix="1">
      <alignment horizontal="center" vertical="center"/>
    </xf>
    <xf numFmtId="44" fontId="1" fillId="2" borderId="1" xfId="0" applyNumberFormat="1" applyFont="1" applyFill="1" applyBorder="1" applyAlignment="1" quotePrefix="1">
      <alignment horizontal="center" vertical="center"/>
    </xf>
    <xf numFmtId="176" fontId="1" fillId="2" borderId="1" xfId="0" applyNumberFormat="1" applyFont="1" applyFill="1" applyBorder="1" applyAlignment="1" quotePrefix="1">
      <alignment horizontal="center" vertical="center"/>
    </xf>
    <xf numFmtId="44" fontId="1" fillId="0" borderId="1" xfId="0" applyNumberFormat="1" applyFont="1" applyFill="1" applyBorder="1" applyAlignment="1" quotePrefix="1">
      <alignment horizontal="center" vertical="center"/>
    </xf>
    <xf numFmtId="176" fontId="1" fillId="0" borderId="1" xfId="0" applyNumberFormat="1" applyFont="1" applyFill="1" applyBorder="1" applyAlignment="1" quotePrefix="1">
      <alignment horizontal="center" vertical="center"/>
    </xf>
    <xf numFmtId="44" fontId="11" fillId="0" borderId="1" xfId="0" applyNumberFormat="1" applyFont="1" applyFill="1" applyBorder="1" applyAlignment="1" quotePrefix="1">
      <alignment horizontal="center" vertical="center"/>
    </xf>
    <xf numFmtId="0" fontId="1" fillId="4" borderId="1" xfId="0" applyFont="1" applyFill="1" applyBorder="1" applyAlignment="1" quotePrefix="1">
      <alignment horizontal="center" vertical="center" wrapText="1"/>
    </xf>
    <xf numFmtId="0" fontId="1" fillId="3" borderId="1" xfId="0" applyFont="1" applyFill="1" applyBorder="1" applyAlignment="1" quotePrefix="1">
      <alignment horizontal="center" vertical="center" wrapText="1"/>
    </xf>
    <xf numFmtId="0" fontId="1" fillId="0" borderId="1" xfId="0" applyFont="1" applyFill="1" applyBorder="1" applyAlignment="1" quotePrefix="1">
      <alignment horizontal="center" vertical="center" wrapText="1"/>
    </xf>
    <xf numFmtId="176" fontId="11" fillId="0" borderId="1" xfId="0" applyNumberFormat="1" applyFont="1" applyFill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" xfId="5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2"/>
  <sheetViews>
    <sheetView tabSelected="1" workbookViewId="0">
      <selection activeCell="C5" sqref="C5"/>
    </sheetView>
  </sheetViews>
  <sheetFormatPr defaultColWidth="9" defaultRowHeight="14.4"/>
  <cols>
    <col min="1" max="1" width="9.87962962962963" style="129" customWidth="1"/>
    <col min="2" max="2" width="12" style="9" customWidth="1"/>
    <col min="3" max="3" width="16" style="8" customWidth="1"/>
    <col min="4" max="4" width="11.75" style="9" customWidth="1"/>
    <col min="5" max="5" width="13.75" style="9" customWidth="1"/>
    <col min="6" max="6" width="14.25" style="130" customWidth="1"/>
    <col min="7" max="7" width="16" style="131" customWidth="1"/>
    <col min="8" max="8" width="13.5" style="132" customWidth="1"/>
    <col min="9" max="9" width="12.1296296296296" customWidth="1"/>
    <col min="10" max="10" width="18.5" style="9" customWidth="1"/>
    <col min="11" max="11" width="12.25" customWidth="1"/>
    <col min="12" max="12" width="15" customWidth="1"/>
    <col min="13" max="13" width="19.5" customWidth="1"/>
    <col min="14" max="14" width="19.1296296296296" style="14" customWidth="1"/>
    <col min="15" max="15" width="15.1296296296296" style="5" customWidth="1"/>
    <col min="16" max="16" width="16.3796296296296" customWidth="1"/>
    <col min="17" max="17" width="36.1296296296296" customWidth="1"/>
    <col min="18" max="18" width="17.6296296296296" style="9" customWidth="1"/>
    <col min="19" max="19" width="15.1296296296296" style="5" customWidth="1"/>
  </cols>
  <sheetData>
    <row r="1" ht="22.2" spans="1:19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4"/>
      <c r="P1" s="133"/>
      <c r="Q1" s="133"/>
      <c r="R1" s="133"/>
    </row>
    <row r="2" ht="15.6" spans="1:19">
      <c r="A2" s="6"/>
      <c r="B2" s="7"/>
      <c r="R2" s="15" t="s">
        <v>1</v>
      </c>
    </row>
    <row r="3" s="7" customFormat="1" ht="14.25" customHeight="1" spans="1:19">
      <c r="A3" s="16" t="s">
        <v>2</v>
      </c>
      <c r="B3" s="16" t="s">
        <v>3</v>
      </c>
      <c r="C3" s="17" t="s">
        <v>4</v>
      </c>
      <c r="D3" s="16" t="s">
        <v>5</v>
      </c>
      <c r="E3" s="17" t="s">
        <v>6</v>
      </c>
      <c r="F3" s="16"/>
      <c r="G3" s="16"/>
      <c r="H3" s="16"/>
      <c r="I3" s="17" t="s">
        <v>7</v>
      </c>
      <c r="J3" s="16"/>
      <c r="K3" s="16" t="s">
        <v>8</v>
      </c>
      <c r="L3" s="16"/>
      <c r="M3" s="16" t="s">
        <v>9</v>
      </c>
      <c r="N3" s="22" t="s">
        <v>10</v>
      </c>
      <c r="O3" s="23" t="s">
        <v>11</v>
      </c>
      <c r="P3" s="24"/>
      <c r="Q3" s="135" t="s">
        <v>12</v>
      </c>
      <c r="R3" s="16" t="s">
        <v>13</v>
      </c>
      <c r="S3" s="136"/>
    </row>
    <row r="4" s="7" customFormat="1" ht="21.75" customHeight="1" spans="1:19">
      <c r="A4" s="16"/>
      <c r="B4" s="16"/>
      <c r="C4" s="17"/>
      <c r="D4" s="16"/>
      <c r="E4" s="121" t="s">
        <v>14</v>
      </c>
      <c r="F4" s="16" t="s">
        <v>15</v>
      </c>
      <c r="G4" s="121" t="s">
        <v>16</v>
      </c>
      <c r="H4" s="137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16"/>
      <c r="N4" s="22"/>
      <c r="O4" s="17" t="s">
        <v>22</v>
      </c>
      <c r="P4" s="16" t="s">
        <v>23</v>
      </c>
      <c r="Q4" s="138"/>
      <c r="R4" s="16"/>
      <c r="S4" s="136"/>
    </row>
    <row r="5" s="127" customFormat="1" ht="42.75" customHeight="1" spans="1:19">
      <c r="A5" s="139"/>
      <c r="B5" s="140"/>
      <c r="C5" s="140"/>
      <c r="D5" s="141"/>
      <c r="E5" s="142"/>
      <c r="F5" s="143"/>
      <c r="G5" s="144"/>
      <c r="H5" s="145"/>
      <c r="I5" s="139"/>
      <c r="J5" s="139"/>
      <c r="K5" s="141"/>
      <c r="L5" s="139"/>
      <c r="M5" s="139"/>
      <c r="N5" s="146"/>
      <c r="O5" s="147"/>
      <c r="P5" s="139"/>
      <c r="Q5" s="139"/>
      <c r="R5" s="139"/>
      <c r="S5" s="148"/>
    </row>
    <row r="6" s="127" customFormat="1" ht="30" customHeight="1" spans="1:19">
      <c r="A6" s="139"/>
      <c r="B6" s="140"/>
      <c r="C6" s="140"/>
      <c r="D6" s="141"/>
      <c r="E6" s="149"/>
      <c r="F6" s="149"/>
      <c r="G6" s="149"/>
      <c r="H6" s="145"/>
      <c r="I6" s="139"/>
      <c r="J6" s="139"/>
      <c r="K6" s="141"/>
      <c r="L6" s="139"/>
      <c r="M6" s="141"/>
      <c r="N6" s="146"/>
      <c r="O6" s="141"/>
      <c r="P6" s="139"/>
      <c r="Q6" s="139"/>
      <c r="R6" s="139"/>
      <c r="S6" s="148"/>
    </row>
    <row r="7" s="127" customFormat="1" ht="30" customHeight="1" spans="1:19">
      <c r="A7" s="139"/>
      <c r="B7" s="140"/>
      <c r="C7" s="140"/>
      <c r="D7" s="141"/>
      <c r="E7" s="149"/>
      <c r="F7" s="149"/>
      <c r="G7" s="149"/>
      <c r="H7" s="145"/>
      <c r="I7" s="139"/>
      <c r="J7" s="139"/>
      <c r="K7" s="141"/>
      <c r="L7" s="139"/>
      <c r="M7" s="139"/>
      <c r="N7" s="146"/>
      <c r="O7" s="141"/>
      <c r="P7" s="139"/>
      <c r="Q7" s="139"/>
      <c r="R7" s="139"/>
      <c r="S7" s="148"/>
    </row>
    <row r="8" s="127" customFormat="1" ht="38.1" customHeight="1" spans="1:19">
      <c r="A8" s="139"/>
      <c r="B8" s="140"/>
      <c r="C8" s="140"/>
      <c r="D8" s="139"/>
      <c r="E8" s="149"/>
      <c r="F8" s="149"/>
      <c r="G8" s="149"/>
      <c r="H8" s="145"/>
      <c r="I8" s="139"/>
      <c r="J8" s="139"/>
      <c r="K8" s="141"/>
      <c r="L8" s="139"/>
      <c r="M8" s="139"/>
      <c r="N8" s="146"/>
      <c r="O8" s="150"/>
      <c r="P8" s="139"/>
      <c r="Q8" s="139"/>
      <c r="R8" s="139"/>
      <c r="S8" s="151"/>
    </row>
    <row r="9" s="127" customFormat="1" ht="30" customHeight="1" spans="1:19">
      <c r="A9" s="139"/>
      <c r="B9" s="140"/>
      <c r="C9" s="140"/>
      <c r="D9" s="139"/>
      <c r="E9" s="149"/>
      <c r="F9" s="149"/>
      <c r="G9" s="149"/>
      <c r="H9" s="145"/>
      <c r="I9" s="139"/>
      <c r="J9" s="139"/>
      <c r="K9" s="141"/>
      <c r="L9" s="139"/>
      <c r="M9" s="139"/>
      <c r="N9" s="146"/>
      <c r="O9" s="141"/>
      <c r="P9" s="139"/>
      <c r="Q9" s="139"/>
      <c r="R9" s="139"/>
      <c r="S9" s="152"/>
    </row>
    <row r="10" s="127" customFormat="1" ht="38.1" customHeight="1" spans="1:19">
      <c r="A10" s="139"/>
      <c r="B10" s="140"/>
      <c r="C10" s="140"/>
      <c r="D10" s="139"/>
      <c r="E10" s="149"/>
      <c r="F10" s="149"/>
      <c r="G10" s="149"/>
      <c r="H10" s="145"/>
      <c r="I10" s="139"/>
      <c r="J10" s="139"/>
      <c r="K10" s="141"/>
      <c r="L10" s="139"/>
      <c r="M10" s="141"/>
      <c r="N10" s="153"/>
      <c r="O10" s="141"/>
      <c r="P10" s="139"/>
      <c r="Q10" s="139"/>
      <c r="R10" s="139"/>
      <c r="S10" s="148"/>
    </row>
    <row r="11" s="127" customFormat="1" ht="30" customHeight="1" spans="1:19">
      <c r="A11" s="139"/>
      <c r="B11" s="140"/>
      <c r="C11" s="140"/>
      <c r="D11" s="139"/>
      <c r="E11" s="149"/>
      <c r="F11" s="149"/>
      <c r="G11" s="149"/>
      <c r="H11" s="145"/>
      <c r="I11" s="139"/>
      <c r="J11" s="139"/>
      <c r="K11" s="141"/>
      <c r="L11" s="139"/>
      <c r="M11" s="139"/>
      <c r="N11" s="146"/>
      <c r="O11" s="141"/>
      <c r="P11" s="139"/>
      <c r="Q11" s="143"/>
      <c r="R11" s="139"/>
      <c r="S11" s="148"/>
    </row>
    <row r="12" s="128" customFormat="1" ht="24.75" customHeight="1" spans="1:19">
      <c r="A12" s="154" t="s">
        <v>24</v>
      </c>
      <c r="B12" s="155"/>
      <c r="C12" s="156"/>
      <c r="D12" s="157"/>
      <c r="E12" s="157"/>
      <c r="F12" s="157"/>
      <c r="G12" s="157"/>
      <c r="H12" s="158"/>
      <c r="I12" s="157"/>
      <c r="J12" s="159">
        <f>SUM(J5:J11)</f>
        <v>0</v>
      </c>
      <c r="K12" s="157"/>
      <c r="L12" s="157"/>
      <c r="M12" s="157"/>
      <c r="N12" s="160"/>
      <c r="O12" s="157"/>
      <c r="P12" s="157"/>
      <c r="Q12" s="157"/>
      <c r="R12" s="157"/>
      <c r="S12" s="161"/>
    </row>
    <row r="13" spans="1:19">
      <c r="A13" s="125" t="s">
        <v>25</v>
      </c>
      <c r="C13" s="9"/>
      <c r="F13" s="9"/>
      <c r="O13"/>
    </row>
    <row r="14" spans="1:19">
      <c r="A14" s="162" t="s">
        <v>26</v>
      </c>
      <c r="B14" s="163"/>
      <c r="C14" s="163"/>
      <c r="D14" s="163"/>
      <c r="E14" s="163"/>
      <c r="F14" s="163"/>
      <c r="O14"/>
    </row>
    <row r="15" spans="1:19">
      <c r="A15" s="9"/>
      <c r="C15" s="9"/>
      <c r="F15" s="9"/>
    </row>
    <row r="16" spans="1:19">
      <c r="B16" s="125"/>
      <c r="C16" s="9"/>
      <c r="F16" s="9"/>
      <c r="G16" s="9"/>
    </row>
    <row r="17" spans="2:7">
      <c r="B17" s="163"/>
      <c r="C17" s="163"/>
      <c r="D17" s="163"/>
      <c r="E17" s="163"/>
      <c r="F17" s="163"/>
      <c r="G17" s="163"/>
    </row>
    <row r="91" spans="18:18">
      <c r="R91" s="164"/>
    </row>
    <row r="92" spans="18:18">
      <c r="R92" s="164"/>
    </row>
  </sheetData>
  <mergeCells count="20">
    <mergeCell ref="A1:R1"/>
    <mergeCell ref="E3:H3"/>
    <mergeCell ref="I3:J3"/>
    <mergeCell ref="K3:L3"/>
    <mergeCell ref="O3:P3"/>
    <mergeCell ref="A12:C12"/>
    <mergeCell ref="A13:F13"/>
    <mergeCell ref="A14:F14"/>
    <mergeCell ref="A15:F15"/>
    <mergeCell ref="B16:G16"/>
    <mergeCell ref="B17:G17"/>
    <mergeCell ref="A3:A4"/>
    <mergeCell ref="B3:B4"/>
    <mergeCell ref="C3:C4"/>
    <mergeCell ref="D3:D4"/>
    <mergeCell ref="M3:M4"/>
    <mergeCell ref="N3:N4"/>
    <mergeCell ref="Q3:Q4"/>
    <mergeCell ref="R3:R4"/>
    <mergeCell ref="S3:S4"/>
  </mergeCells>
  <conditionalFormatting sqref="R$1:R$1048576">
    <cfRule type="duplicateValues" dxfId="0" priority="1"/>
    <cfRule type="duplicateValues" dxfId="0" priority="66"/>
    <cfRule type="duplicateValues" dxfId="0" priority="246"/>
    <cfRule type="duplicateValues" dxfId="0" priority="25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69"/>
  <sheetViews>
    <sheetView zoomScale="130" zoomScaleNormal="130" workbookViewId="0">
      <selection activeCell="G8" sqref="G8"/>
    </sheetView>
  </sheetViews>
  <sheetFormatPr defaultColWidth="9" defaultRowHeight="14.4"/>
  <cols>
    <col min="4" max="4" width="11.5" customWidth="1"/>
    <col min="5" max="5" width="15.8796296296296" style="2"/>
    <col min="6" max="6" width="17" style="2" customWidth="1"/>
    <col min="7" max="7" width="14.8796296296296" style="3" customWidth="1"/>
    <col min="8" max="8" width="14.1296296296296" style="4" customWidth="1"/>
    <col min="10" max="10" width="20.75" customWidth="1"/>
    <col min="12" max="12" width="9.37962962962963"/>
    <col min="14" max="14" width="14" customWidth="1"/>
    <col min="15" max="15" width="16.6296296296296" customWidth="1"/>
    <col min="16" max="16" width="10.3796296296296"/>
    <col min="17" max="17" width="16.8796296296296" style="5" customWidth="1"/>
    <col min="18" max="18" width="16.75" customWidth="1"/>
  </cols>
  <sheetData>
    <row r="1" ht="15.6" spans="1:20">
      <c r="A1" s="6"/>
      <c r="B1" s="7"/>
      <c r="C1" s="8"/>
      <c r="D1" s="9"/>
      <c r="E1" s="10"/>
      <c r="F1" s="11"/>
      <c r="G1" s="12"/>
      <c r="H1" s="13"/>
      <c r="J1" s="9"/>
      <c r="N1" s="14"/>
      <c r="O1" s="5"/>
      <c r="R1" s="15" t="s">
        <v>1</v>
      </c>
      <c r="S1" s="5"/>
    </row>
    <row r="2" ht="15.6" spans="1:20">
      <c r="A2" s="16" t="s">
        <v>2</v>
      </c>
      <c r="B2" s="16" t="s">
        <v>3</v>
      </c>
      <c r="C2" s="17" t="s">
        <v>4</v>
      </c>
      <c r="D2" s="16" t="s">
        <v>5</v>
      </c>
      <c r="E2" s="18" t="s">
        <v>6</v>
      </c>
      <c r="F2" s="19"/>
      <c r="G2" s="20"/>
      <c r="H2" s="21"/>
      <c r="I2" s="17" t="s">
        <v>7</v>
      </c>
      <c r="J2" s="16"/>
      <c r="K2" s="16" t="s">
        <v>8</v>
      </c>
      <c r="L2" s="16"/>
      <c r="M2" s="16" t="s">
        <v>9</v>
      </c>
      <c r="N2" s="22" t="s">
        <v>10</v>
      </c>
      <c r="O2" s="23" t="s">
        <v>11</v>
      </c>
      <c r="P2" s="24"/>
      <c r="Q2" s="25" t="s">
        <v>12</v>
      </c>
      <c r="R2" s="16" t="s">
        <v>13</v>
      </c>
      <c r="S2" s="26" t="s">
        <v>27</v>
      </c>
      <c r="T2" s="7"/>
    </row>
    <row r="3" ht="15.6" spans="1:20">
      <c r="A3" s="16"/>
      <c r="B3" s="16"/>
      <c r="C3" s="17"/>
      <c r="D3" s="16"/>
      <c r="E3" s="27" t="s">
        <v>14</v>
      </c>
      <c r="F3" s="19" t="s">
        <v>15</v>
      </c>
      <c r="G3" s="20" t="s">
        <v>16</v>
      </c>
      <c r="H3" s="28" t="s">
        <v>17</v>
      </c>
      <c r="I3" s="16" t="s">
        <v>18</v>
      </c>
      <c r="J3" s="16" t="s">
        <v>19</v>
      </c>
      <c r="K3" s="16" t="s">
        <v>20</v>
      </c>
      <c r="L3" s="16" t="s">
        <v>21</v>
      </c>
      <c r="M3" s="16"/>
      <c r="N3" s="22"/>
      <c r="O3" s="17" t="s">
        <v>22</v>
      </c>
      <c r="P3" s="16" t="s">
        <v>23</v>
      </c>
      <c r="Q3" s="29"/>
      <c r="R3" s="16"/>
      <c r="S3" s="26"/>
      <c r="T3" s="7"/>
    </row>
    <row r="4" ht="43.2" spans="1:20">
      <c r="A4" s="30">
        <v>1</v>
      </c>
      <c r="B4" s="31" t="s">
        <v>28</v>
      </c>
      <c r="C4" s="31" t="s">
        <v>29</v>
      </c>
      <c r="D4" s="32" t="s">
        <v>30</v>
      </c>
      <c r="E4" s="33" t="s">
        <v>31</v>
      </c>
      <c r="F4" s="34" t="s">
        <v>32</v>
      </c>
      <c r="G4" s="35" t="s">
        <v>33</v>
      </c>
      <c r="H4" s="36">
        <v>45295</v>
      </c>
      <c r="I4" s="30">
        <v>0</v>
      </c>
      <c r="J4" s="30">
        <v>5000</v>
      </c>
      <c r="K4" s="32" t="s">
        <v>34</v>
      </c>
      <c r="L4" s="30">
        <v>0</v>
      </c>
      <c r="M4" s="30" t="s">
        <v>35</v>
      </c>
      <c r="N4" s="37">
        <f ca="1">(TODAY()-H4)/30</f>
        <v>31.9</v>
      </c>
      <c r="O4" s="38">
        <v>46327</v>
      </c>
      <c r="P4" s="30">
        <f>J4</f>
        <v>5000</v>
      </c>
      <c r="Q4" s="31" t="s">
        <v>36</v>
      </c>
      <c r="R4" s="30" t="s">
        <v>37</v>
      </c>
      <c r="S4" s="39" t="s">
        <v>38</v>
      </c>
      <c r="T4" s="40"/>
    </row>
    <row r="5" ht="43.2" spans="1:20">
      <c r="A5" s="41">
        <v>2</v>
      </c>
      <c r="B5" s="42" t="s">
        <v>28</v>
      </c>
      <c r="C5" s="42" t="s">
        <v>39</v>
      </c>
      <c r="D5" s="43" t="s">
        <v>40</v>
      </c>
      <c r="E5" s="165" t="s">
        <v>41</v>
      </c>
      <c r="F5" s="165" t="s">
        <v>41</v>
      </c>
      <c r="G5" s="166" t="s">
        <v>41</v>
      </c>
      <c r="H5" s="46">
        <v>45316</v>
      </c>
      <c r="I5" s="41">
        <v>0</v>
      </c>
      <c r="J5" s="41">
        <v>14665</v>
      </c>
      <c r="K5" s="43" t="s">
        <v>34</v>
      </c>
      <c r="L5" s="41">
        <v>0</v>
      </c>
      <c r="M5" s="43" t="s">
        <v>42</v>
      </c>
      <c r="N5" s="37">
        <f ca="1">(TODAY()-H5)/30</f>
        <v>31.2</v>
      </c>
      <c r="O5" s="47">
        <v>46357</v>
      </c>
      <c r="P5" s="41">
        <f>J5</f>
        <v>14665</v>
      </c>
      <c r="Q5" s="42" t="s">
        <v>43</v>
      </c>
      <c r="R5" s="41" t="s">
        <v>44</v>
      </c>
      <c r="S5" s="48" t="s">
        <v>45</v>
      </c>
      <c r="T5" s="49"/>
    </row>
    <row r="6" ht="57.6" spans="1:20">
      <c r="A6" s="41">
        <v>5</v>
      </c>
      <c r="B6" s="42" t="s">
        <v>28</v>
      </c>
      <c r="C6" s="42" t="s">
        <v>46</v>
      </c>
      <c r="D6" s="41" t="s">
        <v>40</v>
      </c>
      <c r="E6" s="165" t="s">
        <v>41</v>
      </c>
      <c r="F6" s="165" t="s">
        <v>41</v>
      </c>
      <c r="G6" s="166" t="s">
        <v>41</v>
      </c>
      <c r="H6" s="46">
        <v>45357</v>
      </c>
      <c r="I6" s="41">
        <v>0</v>
      </c>
      <c r="J6" s="41">
        <v>4400</v>
      </c>
      <c r="K6" s="43" t="s">
        <v>34</v>
      </c>
      <c r="L6" s="41">
        <v>0</v>
      </c>
      <c r="M6" s="41" t="s">
        <v>47</v>
      </c>
      <c r="N6" s="37">
        <f ca="1">(TODAY()-H6)/30</f>
        <v>29.8333333333333</v>
      </c>
      <c r="O6" s="47">
        <v>46357</v>
      </c>
      <c r="P6" s="41">
        <f>J6</f>
        <v>4400</v>
      </c>
      <c r="Q6" s="42" t="s">
        <v>43</v>
      </c>
      <c r="R6" s="41" t="s">
        <v>48</v>
      </c>
      <c r="S6" s="50"/>
      <c r="T6" s="49"/>
    </row>
    <row r="7" ht="43.2" spans="1:20">
      <c r="A7" s="51">
        <v>4</v>
      </c>
      <c r="B7" s="52" t="s">
        <v>28</v>
      </c>
      <c r="C7" s="52" t="s">
        <v>49</v>
      </c>
      <c r="D7" s="51" t="s">
        <v>40</v>
      </c>
      <c r="E7" s="53" t="s">
        <v>31</v>
      </c>
      <c r="F7" s="53" t="s">
        <v>50</v>
      </c>
      <c r="G7" s="54" t="s">
        <v>51</v>
      </c>
      <c r="H7" s="55">
        <v>45358</v>
      </c>
      <c r="I7" s="51">
        <v>0</v>
      </c>
      <c r="J7" s="51">
        <v>22456</v>
      </c>
      <c r="K7" s="56" t="s">
        <v>34</v>
      </c>
      <c r="L7" s="51">
        <v>0</v>
      </c>
      <c r="M7" s="51" t="s">
        <v>47</v>
      </c>
      <c r="N7" s="37">
        <f ca="1">(TODAY()-H7)/30</f>
        <v>29.8</v>
      </c>
      <c r="O7" s="57" t="s">
        <v>52</v>
      </c>
      <c r="P7" s="51">
        <f>J7</f>
        <v>22456</v>
      </c>
      <c r="Q7" s="52" t="s">
        <v>53</v>
      </c>
      <c r="R7" s="51" t="s">
        <v>54</v>
      </c>
      <c r="S7" s="58" t="s">
        <v>55</v>
      </c>
      <c r="T7" s="59"/>
    </row>
    <row r="8" ht="43.2" spans="1:20">
      <c r="A8" s="41">
        <v>11</v>
      </c>
      <c r="B8" s="42" t="s">
        <v>28</v>
      </c>
      <c r="C8" s="42" t="s">
        <v>56</v>
      </c>
      <c r="D8" s="42" t="s">
        <v>57</v>
      </c>
      <c r="E8" s="165" t="s">
        <v>41</v>
      </c>
      <c r="F8" s="165" t="s">
        <v>41</v>
      </c>
      <c r="G8" s="166" t="s">
        <v>41</v>
      </c>
      <c r="H8" s="46">
        <v>45378</v>
      </c>
      <c r="I8" s="41">
        <v>0</v>
      </c>
      <c r="J8" s="41">
        <v>7661</v>
      </c>
      <c r="K8" s="43" t="s">
        <v>34</v>
      </c>
      <c r="L8" s="41">
        <v>0</v>
      </c>
      <c r="M8" s="43" t="s">
        <v>58</v>
      </c>
      <c r="N8" s="37">
        <f ca="1">(TODAY()-H8)/30</f>
        <v>29.1333333333333</v>
      </c>
      <c r="O8" s="47">
        <v>46266</v>
      </c>
      <c r="P8" s="41">
        <f t="shared" ref="P8:P48" si="0">J8</f>
        <v>7661</v>
      </c>
      <c r="Q8" s="42" t="s">
        <v>43</v>
      </c>
      <c r="R8" s="41" t="s">
        <v>59</v>
      </c>
      <c r="S8" s="48" t="s">
        <v>45</v>
      </c>
      <c r="T8" s="49"/>
    </row>
    <row r="9" ht="43.2" spans="1:20">
      <c r="A9" s="30">
        <v>6</v>
      </c>
      <c r="B9" s="31" t="s">
        <v>28</v>
      </c>
      <c r="C9" s="31" t="s">
        <v>60</v>
      </c>
      <c r="D9" s="30" t="s">
        <v>40</v>
      </c>
      <c r="E9" s="167" t="s">
        <v>41</v>
      </c>
      <c r="F9" s="167" t="s">
        <v>41</v>
      </c>
      <c r="G9" s="168" t="s">
        <v>41</v>
      </c>
      <c r="H9" s="36">
        <v>45380</v>
      </c>
      <c r="I9" s="30">
        <v>0</v>
      </c>
      <c r="J9" s="30">
        <v>11102</v>
      </c>
      <c r="K9" s="32" t="s">
        <v>34</v>
      </c>
      <c r="L9" s="30">
        <v>0</v>
      </c>
      <c r="M9" s="32" t="s">
        <v>42</v>
      </c>
      <c r="N9" s="37">
        <f ca="1" t="shared" ref="N9:N71" si="1">(TODAY()-H9)/30</f>
        <v>29.0666666666667</v>
      </c>
      <c r="O9" s="61">
        <v>46357</v>
      </c>
      <c r="P9" s="30">
        <f t="shared" si="0"/>
        <v>11102</v>
      </c>
      <c r="Q9" s="31" t="s">
        <v>61</v>
      </c>
      <c r="R9" s="30" t="s">
        <v>62</v>
      </c>
      <c r="S9" s="39" t="s">
        <v>38</v>
      </c>
      <c r="T9" s="40"/>
    </row>
    <row r="10" ht="43.2" spans="1:20">
      <c r="A10" s="30">
        <v>9</v>
      </c>
      <c r="B10" s="31" t="s">
        <v>28</v>
      </c>
      <c r="C10" s="31" t="s">
        <v>60</v>
      </c>
      <c r="D10" s="30" t="s">
        <v>40</v>
      </c>
      <c r="E10" s="167" t="s">
        <v>41</v>
      </c>
      <c r="F10" s="167" t="s">
        <v>41</v>
      </c>
      <c r="G10" s="168" t="s">
        <v>41</v>
      </c>
      <c r="H10" s="36">
        <v>45380</v>
      </c>
      <c r="I10" s="30">
        <v>0</v>
      </c>
      <c r="J10" s="30">
        <v>12055</v>
      </c>
      <c r="K10" s="32" t="s">
        <v>34</v>
      </c>
      <c r="L10" s="30">
        <v>0</v>
      </c>
      <c r="M10" s="32" t="s">
        <v>42</v>
      </c>
      <c r="N10" s="37">
        <f ca="1" t="shared" si="1"/>
        <v>29.0666666666667</v>
      </c>
      <c r="O10" s="61">
        <v>46357</v>
      </c>
      <c r="P10" s="30">
        <f t="shared" si="0"/>
        <v>12055</v>
      </c>
      <c r="Q10" s="31" t="s">
        <v>61</v>
      </c>
      <c r="R10" s="30" t="s">
        <v>63</v>
      </c>
      <c r="S10" s="39" t="s">
        <v>38</v>
      </c>
      <c r="T10" s="40"/>
    </row>
    <row r="11" ht="43.2" spans="1:20">
      <c r="A11" s="30">
        <v>10</v>
      </c>
      <c r="B11" s="31" t="s">
        <v>28</v>
      </c>
      <c r="C11" s="31" t="s">
        <v>60</v>
      </c>
      <c r="D11" s="30" t="s">
        <v>40</v>
      </c>
      <c r="E11" s="167" t="s">
        <v>41</v>
      </c>
      <c r="F11" s="167" t="s">
        <v>41</v>
      </c>
      <c r="G11" s="168" t="s">
        <v>41</v>
      </c>
      <c r="H11" s="36">
        <v>45380</v>
      </c>
      <c r="I11" s="30">
        <v>0</v>
      </c>
      <c r="J11" s="30">
        <v>11023</v>
      </c>
      <c r="K11" s="32" t="s">
        <v>34</v>
      </c>
      <c r="L11" s="30">
        <v>0</v>
      </c>
      <c r="M11" s="32" t="s">
        <v>42</v>
      </c>
      <c r="N11" s="37">
        <f ca="1" t="shared" si="1"/>
        <v>29.0666666666667</v>
      </c>
      <c r="O11" s="61">
        <v>46266</v>
      </c>
      <c r="P11" s="30">
        <f t="shared" si="0"/>
        <v>11023</v>
      </c>
      <c r="Q11" s="31" t="s">
        <v>61</v>
      </c>
      <c r="R11" s="30" t="s">
        <v>64</v>
      </c>
      <c r="S11" s="39" t="s">
        <v>38</v>
      </c>
      <c r="T11" s="40"/>
    </row>
    <row r="12" ht="43.2" spans="1:20">
      <c r="A12" s="30">
        <v>8</v>
      </c>
      <c r="B12" s="31" t="s">
        <v>28</v>
      </c>
      <c r="C12" s="31" t="s">
        <v>60</v>
      </c>
      <c r="D12" s="30" t="s">
        <v>40</v>
      </c>
      <c r="E12" s="167" t="s">
        <v>41</v>
      </c>
      <c r="F12" s="167" t="s">
        <v>41</v>
      </c>
      <c r="G12" s="168" t="s">
        <v>41</v>
      </c>
      <c r="H12" s="36">
        <v>45385</v>
      </c>
      <c r="I12" s="30">
        <v>0</v>
      </c>
      <c r="J12" s="30">
        <v>9239</v>
      </c>
      <c r="K12" s="32" t="s">
        <v>34</v>
      </c>
      <c r="L12" s="30">
        <v>0</v>
      </c>
      <c r="M12" s="30" t="s">
        <v>42</v>
      </c>
      <c r="N12" s="37">
        <f ca="1" t="shared" si="1"/>
        <v>28.9</v>
      </c>
      <c r="O12" s="61">
        <v>46357</v>
      </c>
      <c r="P12" s="30">
        <f t="shared" si="0"/>
        <v>9239</v>
      </c>
      <c r="Q12" s="31" t="s">
        <v>61</v>
      </c>
      <c r="R12" s="30" t="s">
        <v>65</v>
      </c>
      <c r="S12" s="39" t="s">
        <v>38</v>
      </c>
      <c r="T12" s="40"/>
    </row>
    <row r="13" ht="43.2" spans="1:20">
      <c r="A13" s="30">
        <v>12</v>
      </c>
      <c r="B13" s="31" t="s">
        <v>28</v>
      </c>
      <c r="C13" s="31" t="s">
        <v>29</v>
      </c>
      <c r="D13" s="30" t="s">
        <v>40</v>
      </c>
      <c r="E13" s="167" t="s">
        <v>41</v>
      </c>
      <c r="F13" s="167" t="s">
        <v>41</v>
      </c>
      <c r="G13" s="168" t="s">
        <v>41</v>
      </c>
      <c r="H13" s="36">
        <v>45385</v>
      </c>
      <c r="I13" s="30">
        <v>0</v>
      </c>
      <c r="J13" s="30">
        <v>46668</v>
      </c>
      <c r="K13" s="32" t="s">
        <v>34</v>
      </c>
      <c r="L13" s="30">
        <v>0</v>
      </c>
      <c r="M13" s="30" t="s">
        <v>35</v>
      </c>
      <c r="N13" s="37">
        <f ca="1" t="shared" si="1"/>
        <v>28.9</v>
      </c>
      <c r="O13" s="61">
        <v>46327</v>
      </c>
      <c r="P13" s="30">
        <f t="shared" si="0"/>
        <v>46668</v>
      </c>
      <c r="Q13" s="31" t="s">
        <v>66</v>
      </c>
      <c r="R13" s="30" t="s">
        <v>67</v>
      </c>
      <c r="S13" s="39" t="s">
        <v>38</v>
      </c>
      <c r="T13" s="40"/>
    </row>
    <row r="14" ht="43.2" spans="1:20">
      <c r="A14" s="30">
        <v>13</v>
      </c>
      <c r="B14" s="31" t="s">
        <v>28</v>
      </c>
      <c r="C14" s="31" t="s">
        <v>29</v>
      </c>
      <c r="D14" s="32" t="s">
        <v>40</v>
      </c>
      <c r="E14" s="167" t="s">
        <v>41</v>
      </c>
      <c r="F14" s="167" t="s">
        <v>41</v>
      </c>
      <c r="G14" s="168" t="s">
        <v>41</v>
      </c>
      <c r="H14" s="36">
        <v>45389</v>
      </c>
      <c r="I14" s="30">
        <v>0</v>
      </c>
      <c r="J14" s="30">
        <v>12688</v>
      </c>
      <c r="K14" s="32" t="s">
        <v>34</v>
      </c>
      <c r="L14" s="30">
        <v>0</v>
      </c>
      <c r="M14" s="62" t="s">
        <v>42</v>
      </c>
      <c r="N14" s="37">
        <f ca="1" t="shared" si="1"/>
        <v>28.7666666666667</v>
      </c>
      <c r="O14" s="61">
        <v>46327</v>
      </c>
      <c r="P14" s="30">
        <f t="shared" si="0"/>
        <v>12688</v>
      </c>
      <c r="Q14" s="31" t="s">
        <v>66</v>
      </c>
      <c r="R14" s="30" t="s">
        <v>68</v>
      </c>
      <c r="S14" s="39" t="s">
        <v>38</v>
      </c>
      <c r="T14" s="40"/>
    </row>
    <row r="15" ht="43.2" spans="1:20">
      <c r="A15" s="41">
        <v>7</v>
      </c>
      <c r="B15" s="42" t="s">
        <v>28</v>
      </c>
      <c r="C15" s="42" t="s">
        <v>69</v>
      </c>
      <c r="D15" s="41" t="s">
        <v>40</v>
      </c>
      <c r="E15" s="165" t="s">
        <v>41</v>
      </c>
      <c r="F15" s="165" t="s">
        <v>41</v>
      </c>
      <c r="G15" s="166" t="s">
        <v>41</v>
      </c>
      <c r="H15" s="46">
        <v>45390</v>
      </c>
      <c r="I15" s="41">
        <v>0</v>
      </c>
      <c r="J15" s="41">
        <v>5129</v>
      </c>
      <c r="K15" s="43" t="s">
        <v>34</v>
      </c>
      <c r="L15" s="41">
        <v>0</v>
      </c>
      <c r="M15" s="41" t="s">
        <v>35</v>
      </c>
      <c r="N15" s="37">
        <f ca="1" t="shared" si="1"/>
        <v>28.7333333333333</v>
      </c>
      <c r="O15" s="47">
        <v>46419</v>
      </c>
      <c r="P15" s="41">
        <f t="shared" si="0"/>
        <v>5129</v>
      </c>
      <c r="Q15" s="63" t="s">
        <v>70</v>
      </c>
      <c r="R15" s="41" t="s">
        <v>71</v>
      </c>
      <c r="S15" s="48" t="s">
        <v>45</v>
      </c>
      <c r="T15" s="49"/>
    </row>
    <row r="16" ht="57.6" spans="1:20">
      <c r="A16" s="41">
        <v>14</v>
      </c>
      <c r="B16" s="42" t="s">
        <v>28</v>
      </c>
      <c r="C16" s="42" t="s">
        <v>72</v>
      </c>
      <c r="D16" s="43" t="s">
        <v>40</v>
      </c>
      <c r="E16" s="165" t="s">
        <v>41</v>
      </c>
      <c r="F16" s="165" t="s">
        <v>41</v>
      </c>
      <c r="G16" s="166" t="s">
        <v>41</v>
      </c>
      <c r="H16" s="46">
        <v>45392</v>
      </c>
      <c r="I16" s="41">
        <v>0</v>
      </c>
      <c r="J16" s="41">
        <v>58647</v>
      </c>
      <c r="K16" s="43" t="s">
        <v>34</v>
      </c>
      <c r="L16" s="41">
        <v>0</v>
      </c>
      <c r="M16" s="43" t="s">
        <v>58</v>
      </c>
      <c r="N16" s="37">
        <f ca="1" t="shared" si="1"/>
        <v>28.6666666666667</v>
      </c>
      <c r="O16" s="47">
        <v>46266</v>
      </c>
      <c r="P16" s="41">
        <f t="shared" si="0"/>
        <v>58647</v>
      </c>
      <c r="Q16" s="42" t="s">
        <v>61</v>
      </c>
      <c r="R16" s="41" t="s">
        <v>73</v>
      </c>
      <c r="S16" s="48" t="s">
        <v>45</v>
      </c>
      <c r="T16" s="49"/>
    </row>
    <row r="17" ht="43.2" spans="1:20">
      <c r="A17" s="30">
        <v>15</v>
      </c>
      <c r="B17" s="31" t="s">
        <v>28</v>
      </c>
      <c r="C17" s="31" t="s">
        <v>29</v>
      </c>
      <c r="D17" s="30" t="s">
        <v>57</v>
      </c>
      <c r="E17" s="167" t="s">
        <v>41</v>
      </c>
      <c r="F17" s="167" t="s">
        <v>41</v>
      </c>
      <c r="G17" s="168" t="s">
        <v>41</v>
      </c>
      <c r="H17" s="36">
        <v>45421</v>
      </c>
      <c r="I17" s="30">
        <v>0</v>
      </c>
      <c r="J17" s="30">
        <v>8277</v>
      </c>
      <c r="K17" s="32" t="s">
        <v>34</v>
      </c>
      <c r="L17" s="30">
        <v>0</v>
      </c>
      <c r="M17" s="30" t="s">
        <v>58</v>
      </c>
      <c r="N17" s="37">
        <f ca="1" t="shared" si="1"/>
        <v>27.7</v>
      </c>
      <c r="O17" s="61">
        <v>46327</v>
      </c>
      <c r="P17" s="30">
        <f t="shared" si="0"/>
        <v>8277</v>
      </c>
      <c r="Q17" s="31" t="s">
        <v>66</v>
      </c>
      <c r="R17" s="30" t="s">
        <v>74</v>
      </c>
      <c r="S17" s="39" t="s">
        <v>38</v>
      </c>
      <c r="T17" s="40"/>
    </row>
    <row r="18" ht="57.6" spans="1:20">
      <c r="A18" s="41">
        <v>17</v>
      </c>
      <c r="B18" s="42" t="s">
        <v>28</v>
      </c>
      <c r="C18" s="42" t="s">
        <v>75</v>
      </c>
      <c r="D18" s="41" t="s">
        <v>76</v>
      </c>
      <c r="E18" s="165" t="s">
        <v>41</v>
      </c>
      <c r="F18" s="165" t="s">
        <v>41</v>
      </c>
      <c r="G18" s="166" t="s">
        <v>41</v>
      </c>
      <c r="H18" s="46">
        <v>45422</v>
      </c>
      <c r="I18" s="41">
        <v>0</v>
      </c>
      <c r="J18" s="41">
        <v>6600</v>
      </c>
      <c r="K18" s="43" t="s">
        <v>34</v>
      </c>
      <c r="L18" s="41">
        <v>0</v>
      </c>
      <c r="M18" s="41" t="s">
        <v>58</v>
      </c>
      <c r="N18" s="37">
        <f ca="1" t="shared" si="1"/>
        <v>27.6666666666667</v>
      </c>
      <c r="O18" s="47">
        <v>46266</v>
      </c>
      <c r="P18" s="41">
        <f t="shared" si="0"/>
        <v>6600</v>
      </c>
      <c r="Q18" s="42" t="s">
        <v>43</v>
      </c>
      <c r="R18" s="41" t="s">
        <v>77</v>
      </c>
      <c r="S18" s="48" t="s">
        <v>45</v>
      </c>
      <c r="T18" s="64"/>
    </row>
    <row r="19" ht="57.6" spans="1:20">
      <c r="A19" s="41">
        <v>18</v>
      </c>
      <c r="B19" s="42" t="s">
        <v>28</v>
      </c>
      <c r="C19" s="42" t="s">
        <v>78</v>
      </c>
      <c r="D19" s="41" t="s">
        <v>76</v>
      </c>
      <c r="E19" s="165" t="s">
        <v>41</v>
      </c>
      <c r="F19" s="165" t="s">
        <v>41</v>
      </c>
      <c r="G19" s="166" t="s">
        <v>41</v>
      </c>
      <c r="H19" s="46">
        <v>45427</v>
      </c>
      <c r="I19" s="41">
        <v>0</v>
      </c>
      <c r="J19" s="41">
        <v>7744</v>
      </c>
      <c r="K19" s="43" t="s">
        <v>34</v>
      </c>
      <c r="L19" s="41">
        <v>0</v>
      </c>
      <c r="M19" s="41" t="s">
        <v>79</v>
      </c>
      <c r="N19" s="37">
        <f ca="1" t="shared" si="1"/>
        <v>27.5</v>
      </c>
      <c r="O19" s="47">
        <v>46266</v>
      </c>
      <c r="P19" s="41">
        <f t="shared" si="0"/>
        <v>7744</v>
      </c>
      <c r="Q19" s="42" t="s">
        <v>43</v>
      </c>
      <c r="R19" s="41" t="s">
        <v>80</v>
      </c>
      <c r="S19" s="48" t="s">
        <v>45</v>
      </c>
      <c r="T19" s="49"/>
    </row>
    <row r="20" ht="43.2" spans="1:20">
      <c r="A20" s="65">
        <v>16</v>
      </c>
      <c r="B20" s="66" t="s">
        <v>28</v>
      </c>
      <c r="C20" s="66" t="s">
        <v>29</v>
      </c>
      <c r="D20" s="65" t="s">
        <v>76</v>
      </c>
      <c r="E20" s="67" t="s">
        <v>31</v>
      </c>
      <c r="F20" s="57" t="s">
        <v>81</v>
      </c>
      <c r="G20" s="68" t="s">
        <v>82</v>
      </c>
      <c r="H20" s="69">
        <v>45428</v>
      </c>
      <c r="I20" s="65">
        <v>0</v>
      </c>
      <c r="J20" s="65">
        <v>5676</v>
      </c>
      <c r="K20" s="70" t="s">
        <v>83</v>
      </c>
      <c r="L20" s="65">
        <f>J20</f>
        <v>5676</v>
      </c>
      <c r="M20" s="65" t="s">
        <v>47</v>
      </c>
      <c r="N20" s="37">
        <f ca="1" t="shared" si="1"/>
        <v>27.4666666666667</v>
      </c>
      <c r="O20" s="71">
        <v>46357</v>
      </c>
      <c r="P20" s="65">
        <f t="shared" si="0"/>
        <v>5676</v>
      </c>
      <c r="Q20" s="57" t="s">
        <v>84</v>
      </c>
      <c r="R20" s="65" t="s">
        <v>85</v>
      </c>
      <c r="S20" s="72" t="s">
        <v>55</v>
      </c>
      <c r="T20" s="73" t="s">
        <v>86</v>
      </c>
    </row>
    <row r="21" ht="57.6" spans="1:20">
      <c r="A21" s="41">
        <v>21</v>
      </c>
      <c r="B21" s="42" t="s">
        <v>28</v>
      </c>
      <c r="C21" s="42" t="s">
        <v>87</v>
      </c>
      <c r="D21" s="41" t="s">
        <v>76</v>
      </c>
      <c r="E21" s="165" t="s">
        <v>41</v>
      </c>
      <c r="F21" s="165" t="s">
        <v>41</v>
      </c>
      <c r="G21" s="166" t="s">
        <v>41</v>
      </c>
      <c r="H21" s="74">
        <v>45476</v>
      </c>
      <c r="I21" s="41">
        <v>0</v>
      </c>
      <c r="J21" s="41">
        <v>5588</v>
      </c>
      <c r="K21" s="43" t="s">
        <v>34</v>
      </c>
      <c r="L21" s="41">
        <v>0</v>
      </c>
      <c r="M21" s="41" t="s">
        <v>79</v>
      </c>
      <c r="N21" s="37">
        <f ca="1" t="shared" si="1"/>
        <v>25.8666666666667</v>
      </c>
      <c r="O21" s="47">
        <v>46266</v>
      </c>
      <c r="P21" s="41">
        <f t="shared" si="0"/>
        <v>5588</v>
      </c>
      <c r="Q21" s="42" t="s">
        <v>61</v>
      </c>
      <c r="R21" s="41" t="s">
        <v>88</v>
      </c>
      <c r="S21" s="48" t="s">
        <v>45</v>
      </c>
      <c r="T21" s="49"/>
    </row>
    <row r="22" ht="57.6" spans="1:20">
      <c r="A22" s="41">
        <v>19</v>
      </c>
      <c r="B22" s="42" t="s">
        <v>28</v>
      </c>
      <c r="C22" s="42" t="s">
        <v>89</v>
      </c>
      <c r="D22" s="41" t="s">
        <v>76</v>
      </c>
      <c r="E22" s="165" t="s">
        <v>41</v>
      </c>
      <c r="F22" s="165" t="s">
        <v>41</v>
      </c>
      <c r="G22" s="166" t="s">
        <v>41</v>
      </c>
      <c r="H22" s="75">
        <v>45481</v>
      </c>
      <c r="I22" s="41">
        <v>0</v>
      </c>
      <c r="J22" s="41">
        <v>4400</v>
      </c>
      <c r="K22" s="43" t="s">
        <v>34</v>
      </c>
      <c r="L22" s="41">
        <v>0</v>
      </c>
      <c r="M22" s="41" t="s">
        <v>79</v>
      </c>
      <c r="N22" s="37">
        <f ca="1" t="shared" si="1"/>
        <v>25.7</v>
      </c>
      <c r="O22" s="47">
        <v>46266</v>
      </c>
      <c r="P22" s="41">
        <f t="shared" si="0"/>
        <v>4400</v>
      </c>
      <c r="Q22" s="42" t="s">
        <v>43</v>
      </c>
      <c r="R22" s="41" t="s">
        <v>90</v>
      </c>
      <c r="S22" s="48" t="s">
        <v>45</v>
      </c>
      <c r="T22" s="49"/>
    </row>
    <row r="23" ht="57.6" spans="1:20">
      <c r="A23" s="41">
        <v>20</v>
      </c>
      <c r="B23" s="42" t="s">
        <v>28</v>
      </c>
      <c r="C23" s="42" t="s">
        <v>91</v>
      </c>
      <c r="D23" s="41" t="s">
        <v>57</v>
      </c>
      <c r="E23" s="165" t="s">
        <v>41</v>
      </c>
      <c r="F23" s="165" t="s">
        <v>41</v>
      </c>
      <c r="G23" s="166" t="s">
        <v>41</v>
      </c>
      <c r="H23" s="74">
        <v>45485</v>
      </c>
      <c r="I23" s="41">
        <v>0</v>
      </c>
      <c r="J23" s="41">
        <v>7661</v>
      </c>
      <c r="K23" s="43" t="s">
        <v>34</v>
      </c>
      <c r="L23" s="41">
        <v>0</v>
      </c>
      <c r="M23" s="41" t="s">
        <v>79</v>
      </c>
      <c r="N23" s="37">
        <f ca="1" t="shared" si="1"/>
        <v>25.5666666666667</v>
      </c>
      <c r="O23" s="47">
        <v>46266</v>
      </c>
      <c r="P23" s="41">
        <f t="shared" si="0"/>
        <v>7661</v>
      </c>
      <c r="Q23" s="42" t="s">
        <v>43</v>
      </c>
      <c r="R23" s="41" t="s">
        <v>92</v>
      </c>
      <c r="S23" s="48" t="s">
        <v>45</v>
      </c>
      <c r="T23" s="49"/>
    </row>
    <row r="24" ht="43.2" spans="1:20">
      <c r="A24" s="65">
        <v>22</v>
      </c>
      <c r="B24" s="66" t="s">
        <v>28</v>
      </c>
      <c r="C24" s="57" t="s">
        <v>93</v>
      </c>
      <c r="D24" s="65" t="s">
        <v>57</v>
      </c>
      <c r="E24" s="67" t="s">
        <v>31</v>
      </c>
      <c r="F24" s="57" t="s">
        <v>94</v>
      </c>
      <c r="G24" s="68" t="s">
        <v>95</v>
      </c>
      <c r="H24" s="76">
        <v>45485</v>
      </c>
      <c r="I24" s="65">
        <v>0</v>
      </c>
      <c r="J24" s="65">
        <v>1107.88</v>
      </c>
      <c r="K24" s="70" t="s">
        <v>83</v>
      </c>
      <c r="L24" s="65">
        <f>J24</f>
        <v>1107.88</v>
      </c>
      <c r="M24" s="65" t="s">
        <v>79</v>
      </c>
      <c r="N24" s="37">
        <f ca="1" t="shared" si="1"/>
        <v>25.5666666666667</v>
      </c>
      <c r="O24" s="71">
        <v>46419</v>
      </c>
      <c r="P24" s="65">
        <f t="shared" si="0"/>
        <v>1107.88</v>
      </c>
      <c r="Q24" s="57" t="s">
        <v>84</v>
      </c>
      <c r="R24" s="65" t="s">
        <v>96</v>
      </c>
      <c r="S24" s="72" t="s">
        <v>55</v>
      </c>
      <c r="T24" s="72" t="s">
        <v>86</v>
      </c>
    </row>
    <row r="25" ht="43.2" spans="1:20">
      <c r="A25" s="30">
        <v>29</v>
      </c>
      <c r="B25" s="31" t="s">
        <v>28</v>
      </c>
      <c r="C25" s="31" t="s">
        <v>60</v>
      </c>
      <c r="D25" s="30" t="s">
        <v>57</v>
      </c>
      <c r="E25" s="167" t="s">
        <v>41</v>
      </c>
      <c r="F25" s="167" t="s">
        <v>41</v>
      </c>
      <c r="G25" s="168" t="s">
        <v>41</v>
      </c>
      <c r="H25" s="35">
        <v>45505</v>
      </c>
      <c r="I25" s="30">
        <v>0</v>
      </c>
      <c r="J25" s="30">
        <v>21160</v>
      </c>
      <c r="K25" s="32" t="s">
        <v>34</v>
      </c>
      <c r="L25" s="30">
        <v>0</v>
      </c>
      <c r="M25" s="30" t="s">
        <v>97</v>
      </c>
      <c r="N25" s="37">
        <f ca="1" t="shared" si="1"/>
        <v>24.9</v>
      </c>
      <c r="O25" s="61">
        <v>46266</v>
      </c>
      <c r="P25" s="30">
        <f t="shared" si="0"/>
        <v>21160</v>
      </c>
      <c r="Q25" s="31" t="s">
        <v>61</v>
      </c>
      <c r="R25" s="30" t="s">
        <v>98</v>
      </c>
      <c r="S25" s="39" t="s">
        <v>38</v>
      </c>
      <c r="T25" s="77"/>
    </row>
    <row r="26" ht="43.2" spans="1:20">
      <c r="A26" s="30">
        <v>36</v>
      </c>
      <c r="B26" s="31" t="s">
        <v>28</v>
      </c>
      <c r="C26" s="31" t="s">
        <v>60</v>
      </c>
      <c r="D26" s="30" t="s">
        <v>57</v>
      </c>
      <c r="E26" s="167" t="s">
        <v>41</v>
      </c>
      <c r="F26" s="167" t="s">
        <v>41</v>
      </c>
      <c r="G26" s="168" t="s">
        <v>41</v>
      </c>
      <c r="H26" s="35">
        <v>45505</v>
      </c>
      <c r="I26" s="30">
        <v>0</v>
      </c>
      <c r="J26" s="30">
        <v>20796</v>
      </c>
      <c r="K26" s="32" t="s">
        <v>34</v>
      </c>
      <c r="L26" s="30">
        <v>0</v>
      </c>
      <c r="M26" s="30" t="s">
        <v>97</v>
      </c>
      <c r="N26" s="37">
        <f ca="1" t="shared" si="1"/>
        <v>24.9</v>
      </c>
      <c r="O26" s="61">
        <v>46266</v>
      </c>
      <c r="P26" s="30">
        <f t="shared" si="0"/>
        <v>20796</v>
      </c>
      <c r="Q26" s="31" t="s">
        <v>61</v>
      </c>
      <c r="R26" s="30" t="s">
        <v>99</v>
      </c>
      <c r="S26" s="39" t="s">
        <v>38</v>
      </c>
      <c r="T26" s="77"/>
    </row>
    <row r="27" ht="43.2" spans="1:20">
      <c r="A27" s="65">
        <v>27</v>
      </c>
      <c r="B27" s="66" t="s">
        <v>28</v>
      </c>
      <c r="C27" s="57" t="s">
        <v>93</v>
      </c>
      <c r="D27" s="65" t="s">
        <v>76</v>
      </c>
      <c r="E27" s="67" t="s">
        <v>31</v>
      </c>
      <c r="F27" s="57" t="s">
        <v>100</v>
      </c>
      <c r="G27" s="68" t="s">
        <v>101</v>
      </c>
      <c r="H27" s="68">
        <v>45505</v>
      </c>
      <c r="I27" s="65">
        <v>0</v>
      </c>
      <c r="J27" s="65">
        <v>569</v>
      </c>
      <c r="K27" s="70" t="s">
        <v>83</v>
      </c>
      <c r="L27" s="65">
        <f>J27</f>
        <v>569</v>
      </c>
      <c r="M27" s="65" t="s">
        <v>47</v>
      </c>
      <c r="N27" s="37">
        <f ca="1" t="shared" si="1"/>
        <v>24.9</v>
      </c>
      <c r="O27" s="71">
        <v>46174</v>
      </c>
      <c r="P27" s="65">
        <f t="shared" si="0"/>
        <v>569</v>
      </c>
      <c r="Q27" s="57" t="s">
        <v>84</v>
      </c>
      <c r="R27" s="65" t="s">
        <v>102</v>
      </c>
      <c r="S27" s="72" t="s">
        <v>103</v>
      </c>
      <c r="T27" s="78" t="s">
        <v>86</v>
      </c>
    </row>
    <row r="28" ht="43.2" spans="1:20">
      <c r="A28" s="30">
        <v>30</v>
      </c>
      <c r="B28" s="31" t="s">
        <v>28</v>
      </c>
      <c r="C28" s="31" t="s">
        <v>60</v>
      </c>
      <c r="D28" s="30" t="s">
        <v>57</v>
      </c>
      <c r="E28" s="167" t="s">
        <v>41</v>
      </c>
      <c r="F28" s="167" t="s">
        <v>41</v>
      </c>
      <c r="G28" s="168" t="s">
        <v>41</v>
      </c>
      <c r="H28" s="35">
        <v>45511</v>
      </c>
      <c r="I28" s="30">
        <v>0</v>
      </c>
      <c r="J28" s="30">
        <v>14435.9</v>
      </c>
      <c r="K28" s="32" t="s">
        <v>34</v>
      </c>
      <c r="L28" s="30">
        <v>0</v>
      </c>
      <c r="M28" s="30" t="s">
        <v>97</v>
      </c>
      <c r="N28" s="37">
        <f ca="1" t="shared" si="1"/>
        <v>24.7</v>
      </c>
      <c r="O28" s="61">
        <v>46266</v>
      </c>
      <c r="P28" s="30">
        <f t="shared" si="0"/>
        <v>14435.9</v>
      </c>
      <c r="Q28" s="31" t="s">
        <v>61</v>
      </c>
      <c r="R28" s="30" t="s">
        <v>104</v>
      </c>
      <c r="S28" s="39" t="s">
        <v>38</v>
      </c>
      <c r="T28" s="77"/>
    </row>
    <row r="29" ht="43.2" spans="1:20">
      <c r="A29" s="30">
        <v>37</v>
      </c>
      <c r="B29" s="31" t="s">
        <v>28</v>
      </c>
      <c r="C29" s="31" t="s">
        <v>60</v>
      </c>
      <c r="D29" s="30" t="s">
        <v>57</v>
      </c>
      <c r="E29" s="167" t="s">
        <v>41</v>
      </c>
      <c r="F29" s="167" t="s">
        <v>41</v>
      </c>
      <c r="G29" s="168" t="s">
        <v>41</v>
      </c>
      <c r="H29" s="35">
        <v>45511</v>
      </c>
      <c r="I29" s="30">
        <v>0</v>
      </c>
      <c r="J29" s="30">
        <v>21435.9</v>
      </c>
      <c r="K29" s="32" t="s">
        <v>34</v>
      </c>
      <c r="L29" s="30">
        <v>0</v>
      </c>
      <c r="M29" s="30" t="s">
        <v>97</v>
      </c>
      <c r="N29" s="37">
        <f ca="1" t="shared" si="1"/>
        <v>24.7</v>
      </c>
      <c r="O29" s="61">
        <v>46266</v>
      </c>
      <c r="P29" s="30">
        <f t="shared" si="0"/>
        <v>21435.9</v>
      </c>
      <c r="Q29" s="31" t="s">
        <v>61</v>
      </c>
      <c r="R29" s="30" t="s">
        <v>105</v>
      </c>
      <c r="S29" s="39" t="s">
        <v>38</v>
      </c>
      <c r="T29" s="77"/>
    </row>
    <row r="30" ht="43.2" spans="1:20">
      <c r="A30" s="41">
        <v>25</v>
      </c>
      <c r="B30" s="42" t="s">
        <v>28</v>
      </c>
      <c r="C30" s="42" t="s">
        <v>106</v>
      </c>
      <c r="D30" s="41" t="s">
        <v>76</v>
      </c>
      <c r="E30" s="165" t="s">
        <v>41</v>
      </c>
      <c r="F30" s="165" t="s">
        <v>41</v>
      </c>
      <c r="G30" s="166" t="s">
        <v>41</v>
      </c>
      <c r="H30" s="74">
        <v>45516</v>
      </c>
      <c r="I30" s="41">
        <v>0</v>
      </c>
      <c r="J30" s="41">
        <v>19360</v>
      </c>
      <c r="K30" s="43" t="s">
        <v>34</v>
      </c>
      <c r="L30" s="41">
        <v>0</v>
      </c>
      <c r="M30" s="41" t="s">
        <v>79</v>
      </c>
      <c r="N30" s="37">
        <f ca="1" t="shared" si="1"/>
        <v>24.5333333333333</v>
      </c>
      <c r="O30" s="47">
        <v>46266</v>
      </c>
      <c r="P30" s="41">
        <f t="shared" si="0"/>
        <v>19360</v>
      </c>
      <c r="Q30" s="42" t="s">
        <v>43</v>
      </c>
      <c r="R30" s="41" t="s">
        <v>107</v>
      </c>
      <c r="S30" s="48" t="s">
        <v>45</v>
      </c>
      <c r="T30" s="50"/>
    </row>
    <row r="31" ht="57.6" spans="1:20">
      <c r="A31" s="30">
        <v>23</v>
      </c>
      <c r="B31" s="31" t="s">
        <v>28</v>
      </c>
      <c r="C31" s="31" t="s">
        <v>72</v>
      </c>
      <c r="D31" s="30" t="s">
        <v>57</v>
      </c>
      <c r="E31" s="167" t="s">
        <v>41</v>
      </c>
      <c r="F31" s="167" t="s">
        <v>41</v>
      </c>
      <c r="G31" s="168" t="s">
        <v>41</v>
      </c>
      <c r="H31" s="35">
        <v>45516</v>
      </c>
      <c r="I31" s="30">
        <v>0</v>
      </c>
      <c r="J31" s="30">
        <v>10040</v>
      </c>
      <c r="K31" s="32" t="s">
        <v>34</v>
      </c>
      <c r="L31" s="30">
        <v>0</v>
      </c>
      <c r="M31" s="30" t="s">
        <v>42</v>
      </c>
      <c r="N31" s="37">
        <f ca="1" t="shared" si="1"/>
        <v>24.5333333333333</v>
      </c>
      <c r="O31" s="61">
        <v>46266</v>
      </c>
      <c r="P31" s="30">
        <f t="shared" si="0"/>
        <v>10040</v>
      </c>
      <c r="Q31" s="31" t="s">
        <v>61</v>
      </c>
      <c r="R31" s="30" t="s">
        <v>108</v>
      </c>
      <c r="S31" s="39" t="s">
        <v>38</v>
      </c>
      <c r="T31" s="77"/>
    </row>
    <row r="32" ht="43.2" spans="1:20">
      <c r="A32" s="30">
        <v>31</v>
      </c>
      <c r="B32" s="31" t="s">
        <v>28</v>
      </c>
      <c r="C32" s="31" t="s">
        <v>60</v>
      </c>
      <c r="D32" s="30" t="s">
        <v>57</v>
      </c>
      <c r="E32" s="167" t="s">
        <v>41</v>
      </c>
      <c r="F32" s="167" t="s">
        <v>41</v>
      </c>
      <c r="G32" s="168" t="s">
        <v>41</v>
      </c>
      <c r="H32" s="35">
        <v>45516</v>
      </c>
      <c r="I32" s="30">
        <v>0</v>
      </c>
      <c r="J32" s="30">
        <v>8853</v>
      </c>
      <c r="K32" s="32" t="s">
        <v>34</v>
      </c>
      <c r="L32" s="30">
        <v>0</v>
      </c>
      <c r="M32" s="30" t="s">
        <v>42</v>
      </c>
      <c r="N32" s="37">
        <f ca="1" t="shared" si="1"/>
        <v>24.5333333333333</v>
      </c>
      <c r="O32" s="61">
        <v>46266</v>
      </c>
      <c r="P32" s="30">
        <f t="shared" si="0"/>
        <v>8853</v>
      </c>
      <c r="Q32" s="31" t="s">
        <v>61</v>
      </c>
      <c r="R32" s="30" t="s">
        <v>109</v>
      </c>
      <c r="S32" s="39" t="s">
        <v>38</v>
      </c>
      <c r="T32" s="77"/>
    </row>
    <row r="33" ht="43.2" spans="1:20">
      <c r="A33" s="30">
        <v>32</v>
      </c>
      <c r="B33" s="31" t="s">
        <v>28</v>
      </c>
      <c r="C33" s="31" t="s">
        <v>60</v>
      </c>
      <c r="D33" s="30" t="s">
        <v>57</v>
      </c>
      <c r="E33" s="167" t="s">
        <v>41</v>
      </c>
      <c r="F33" s="167" t="s">
        <v>41</v>
      </c>
      <c r="G33" s="168" t="s">
        <v>41</v>
      </c>
      <c r="H33" s="35">
        <v>45516</v>
      </c>
      <c r="I33" s="30">
        <v>0</v>
      </c>
      <c r="J33" s="30">
        <v>10441</v>
      </c>
      <c r="K33" s="32" t="s">
        <v>34</v>
      </c>
      <c r="L33" s="30">
        <v>0</v>
      </c>
      <c r="M33" s="30" t="s">
        <v>42</v>
      </c>
      <c r="N33" s="37">
        <f ca="1" t="shared" si="1"/>
        <v>24.5333333333333</v>
      </c>
      <c r="O33" s="61">
        <v>46266</v>
      </c>
      <c r="P33" s="30">
        <f t="shared" si="0"/>
        <v>10441</v>
      </c>
      <c r="Q33" s="31" t="s">
        <v>61</v>
      </c>
      <c r="R33" s="30" t="s">
        <v>110</v>
      </c>
      <c r="S33" s="39" t="s">
        <v>38</v>
      </c>
      <c r="T33" s="77"/>
    </row>
    <row r="34" ht="43.2" spans="1:20">
      <c r="A34" s="30">
        <v>33</v>
      </c>
      <c r="B34" s="31" t="s">
        <v>28</v>
      </c>
      <c r="C34" s="31" t="s">
        <v>60</v>
      </c>
      <c r="D34" s="30" t="s">
        <v>57</v>
      </c>
      <c r="E34" s="167" t="s">
        <v>41</v>
      </c>
      <c r="F34" s="167" t="s">
        <v>41</v>
      </c>
      <c r="G34" s="168" t="s">
        <v>41</v>
      </c>
      <c r="H34" s="35">
        <v>45516</v>
      </c>
      <c r="I34" s="30">
        <v>0</v>
      </c>
      <c r="J34" s="30">
        <v>10951</v>
      </c>
      <c r="K34" s="32" t="s">
        <v>34</v>
      </c>
      <c r="L34" s="30">
        <v>0</v>
      </c>
      <c r="M34" s="30" t="s">
        <v>42</v>
      </c>
      <c r="N34" s="37">
        <f ca="1" t="shared" si="1"/>
        <v>24.5333333333333</v>
      </c>
      <c r="O34" s="61">
        <v>46266</v>
      </c>
      <c r="P34" s="30">
        <f t="shared" si="0"/>
        <v>10951</v>
      </c>
      <c r="Q34" s="31" t="s">
        <v>61</v>
      </c>
      <c r="R34" s="30" t="s">
        <v>111</v>
      </c>
      <c r="S34" s="39" t="s">
        <v>38</v>
      </c>
      <c r="T34" s="77"/>
    </row>
    <row r="35" ht="43.2" spans="1:20">
      <c r="A35" s="30">
        <v>34</v>
      </c>
      <c r="B35" s="31" t="s">
        <v>28</v>
      </c>
      <c r="C35" s="31" t="s">
        <v>60</v>
      </c>
      <c r="D35" s="31" t="s">
        <v>112</v>
      </c>
      <c r="E35" s="167" t="s">
        <v>41</v>
      </c>
      <c r="F35" s="167" t="s">
        <v>41</v>
      </c>
      <c r="G35" s="168" t="s">
        <v>41</v>
      </c>
      <c r="H35" s="35">
        <v>45516</v>
      </c>
      <c r="I35" s="30">
        <v>0</v>
      </c>
      <c r="J35" s="30">
        <v>14459</v>
      </c>
      <c r="K35" s="32" t="s">
        <v>34</v>
      </c>
      <c r="L35" s="30">
        <v>0</v>
      </c>
      <c r="M35" s="30" t="s">
        <v>42</v>
      </c>
      <c r="N35" s="37">
        <f ca="1" t="shared" si="1"/>
        <v>24.5333333333333</v>
      </c>
      <c r="O35" s="61">
        <v>46266</v>
      </c>
      <c r="P35" s="30">
        <f t="shared" si="0"/>
        <v>14459</v>
      </c>
      <c r="Q35" s="31" t="s">
        <v>61</v>
      </c>
      <c r="R35" s="30" t="s">
        <v>113</v>
      </c>
      <c r="S35" s="77" t="s">
        <v>38</v>
      </c>
      <c r="T35" s="77"/>
    </row>
    <row r="36" ht="57.6" spans="1:20">
      <c r="A36" s="30">
        <v>26</v>
      </c>
      <c r="B36" s="31" t="s">
        <v>28</v>
      </c>
      <c r="C36" s="31" t="s">
        <v>114</v>
      </c>
      <c r="D36" s="30" t="s">
        <v>57</v>
      </c>
      <c r="E36" s="167" t="s">
        <v>41</v>
      </c>
      <c r="F36" s="167" t="s">
        <v>41</v>
      </c>
      <c r="G36" s="168" t="s">
        <v>41</v>
      </c>
      <c r="H36" s="35">
        <v>45517</v>
      </c>
      <c r="I36" s="30">
        <v>0</v>
      </c>
      <c r="J36" s="30">
        <v>6173</v>
      </c>
      <c r="K36" s="32" t="s">
        <v>34</v>
      </c>
      <c r="L36" s="30">
        <v>0</v>
      </c>
      <c r="M36" s="30" t="s">
        <v>97</v>
      </c>
      <c r="N36" s="37">
        <f ca="1" t="shared" si="1"/>
        <v>24.5</v>
      </c>
      <c r="O36" s="61">
        <v>46266</v>
      </c>
      <c r="P36" s="30">
        <f t="shared" si="0"/>
        <v>6173</v>
      </c>
      <c r="Q36" s="31" t="s">
        <v>61</v>
      </c>
      <c r="R36" s="30" t="s">
        <v>115</v>
      </c>
      <c r="S36" s="39" t="s">
        <v>38</v>
      </c>
      <c r="T36" s="77"/>
    </row>
    <row r="37" ht="57.6" spans="1:20">
      <c r="A37" s="41">
        <v>24</v>
      </c>
      <c r="B37" s="42" t="s">
        <v>28</v>
      </c>
      <c r="C37" s="42" t="s">
        <v>116</v>
      </c>
      <c r="D37" s="41" t="s">
        <v>57</v>
      </c>
      <c r="E37" s="165" t="s">
        <v>41</v>
      </c>
      <c r="F37" s="165" t="s">
        <v>41</v>
      </c>
      <c r="G37" s="166" t="s">
        <v>41</v>
      </c>
      <c r="H37" s="74">
        <v>45525</v>
      </c>
      <c r="I37" s="41">
        <v>0</v>
      </c>
      <c r="J37" s="41">
        <v>7661</v>
      </c>
      <c r="K37" s="43" t="s">
        <v>34</v>
      </c>
      <c r="L37" s="41">
        <v>0</v>
      </c>
      <c r="M37" s="41" t="s">
        <v>42</v>
      </c>
      <c r="N37" s="37">
        <f ca="1" t="shared" si="1"/>
        <v>24.2333333333333</v>
      </c>
      <c r="O37" s="47">
        <v>46266</v>
      </c>
      <c r="P37" s="41">
        <f t="shared" si="0"/>
        <v>7661</v>
      </c>
      <c r="Q37" s="42" t="s">
        <v>61</v>
      </c>
      <c r="R37" s="41" t="s">
        <v>117</v>
      </c>
      <c r="S37" s="48" t="s">
        <v>45</v>
      </c>
      <c r="T37" s="50"/>
    </row>
    <row r="38" ht="57.6" spans="1:20">
      <c r="A38" s="41">
        <v>38</v>
      </c>
      <c r="B38" s="42" t="s">
        <v>28</v>
      </c>
      <c r="C38" s="42" t="s">
        <v>116</v>
      </c>
      <c r="D38" s="41" t="s">
        <v>57</v>
      </c>
      <c r="E38" s="165" t="s">
        <v>41</v>
      </c>
      <c r="F38" s="165" t="s">
        <v>41</v>
      </c>
      <c r="G38" s="166" t="s">
        <v>41</v>
      </c>
      <c r="H38" s="74">
        <v>45525</v>
      </c>
      <c r="I38" s="41">
        <v>0</v>
      </c>
      <c r="J38" s="41">
        <v>18584</v>
      </c>
      <c r="K38" s="43" t="s">
        <v>34</v>
      </c>
      <c r="L38" s="41">
        <v>0</v>
      </c>
      <c r="M38" s="41" t="s">
        <v>42</v>
      </c>
      <c r="N38" s="37">
        <f ca="1" t="shared" si="1"/>
        <v>24.2333333333333</v>
      </c>
      <c r="O38" s="47">
        <v>46266</v>
      </c>
      <c r="P38" s="41">
        <f t="shared" si="0"/>
        <v>18584</v>
      </c>
      <c r="Q38" s="42" t="s">
        <v>61</v>
      </c>
      <c r="R38" s="41" t="s">
        <v>118</v>
      </c>
      <c r="S38" s="48" t="s">
        <v>45</v>
      </c>
      <c r="T38" s="50"/>
    </row>
    <row r="39" ht="57.6" spans="1:20">
      <c r="A39" s="41">
        <v>39</v>
      </c>
      <c r="B39" s="42" t="s">
        <v>28</v>
      </c>
      <c r="C39" s="42" t="s">
        <v>116</v>
      </c>
      <c r="D39" s="41" t="s">
        <v>57</v>
      </c>
      <c r="E39" s="165" t="s">
        <v>41</v>
      </c>
      <c r="F39" s="165" t="s">
        <v>41</v>
      </c>
      <c r="G39" s="166" t="s">
        <v>41</v>
      </c>
      <c r="H39" s="74">
        <v>45525</v>
      </c>
      <c r="I39" s="41">
        <v>0</v>
      </c>
      <c r="J39" s="41">
        <v>13051</v>
      </c>
      <c r="K39" s="43" t="s">
        <v>34</v>
      </c>
      <c r="L39" s="41">
        <v>0</v>
      </c>
      <c r="M39" s="41" t="s">
        <v>42</v>
      </c>
      <c r="N39" s="37">
        <f ca="1" t="shared" si="1"/>
        <v>24.2333333333333</v>
      </c>
      <c r="O39" s="47">
        <v>46266</v>
      </c>
      <c r="P39" s="41">
        <f t="shared" si="0"/>
        <v>13051</v>
      </c>
      <c r="Q39" s="42" t="s">
        <v>61</v>
      </c>
      <c r="R39" s="41" t="s">
        <v>119</v>
      </c>
      <c r="S39" s="48" t="s">
        <v>45</v>
      </c>
      <c r="T39" s="50"/>
    </row>
    <row r="40" ht="43.2" spans="1:20">
      <c r="A40" s="65">
        <v>41</v>
      </c>
      <c r="B40" s="66" t="s">
        <v>28</v>
      </c>
      <c r="C40" s="66" t="s">
        <v>93</v>
      </c>
      <c r="D40" s="65" t="s">
        <v>57</v>
      </c>
      <c r="E40" s="67" t="s">
        <v>31</v>
      </c>
      <c r="F40" s="57" t="s">
        <v>94</v>
      </c>
      <c r="G40" s="68" t="s">
        <v>95</v>
      </c>
      <c r="H40" s="68">
        <v>45525</v>
      </c>
      <c r="I40" s="65">
        <v>0</v>
      </c>
      <c r="J40" s="65">
        <v>1107.88</v>
      </c>
      <c r="K40" s="70" t="s">
        <v>83</v>
      </c>
      <c r="L40" s="65">
        <f>J40</f>
        <v>1107.88</v>
      </c>
      <c r="M40" s="65" t="s">
        <v>97</v>
      </c>
      <c r="N40" s="37">
        <f ca="1" t="shared" si="1"/>
        <v>24.2333333333333</v>
      </c>
      <c r="O40" s="71">
        <v>46419</v>
      </c>
      <c r="P40" s="65">
        <f t="shared" si="0"/>
        <v>1107.88</v>
      </c>
      <c r="Q40" s="57" t="s">
        <v>84</v>
      </c>
      <c r="R40" s="65" t="s">
        <v>120</v>
      </c>
      <c r="S40" s="72" t="s">
        <v>55</v>
      </c>
      <c r="T40" s="72" t="s">
        <v>86</v>
      </c>
    </row>
    <row r="41" ht="43.2" spans="1:20">
      <c r="A41" s="65">
        <v>42</v>
      </c>
      <c r="B41" s="66" t="s">
        <v>28</v>
      </c>
      <c r="C41" s="66" t="s">
        <v>93</v>
      </c>
      <c r="D41" s="65" t="s">
        <v>57</v>
      </c>
      <c r="E41" s="67" t="s">
        <v>31</v>
      </c>
      <c r="F41" s="57" t="s">
        <v>94</v>
      </c>
      <c r="G41" s="68" t="s">
        <v>95</v>
      </c>
      <c r="H41" s="68">
        <v>45525</v>
      </c>
      <c r="I41" s="65">
        <v>0</v>
      </c>
      <c r="J41" s="65">
        <v>1107.88</v>
      </c>
      <c r="K41" s="70" t="s">
        <v>83</v>
      </c>
      <c r="L41" s="65">
        <f>J41</f>
        <v>1107.88</v>
      </c>
      <c r="M41" s="65" t="s">
        <v>47</v>
      </c>
      <c r="N41" s="37">
        <f ca="1" t="shared" si="1"/>
        <v>24.2333333333333</v>
      </c>
      <c r="O41" s="71">
        <v>46419</v>
      </c>
      <c r="P41" s="65">
        <f t="shared" si="0"/>
        <v>1107.88</v>
      </c>
      <c r="Q41" s="57" t="s">
        <v>84</v>
      </c>
      <c r="R41" s="65" t="s">
        <v>121</v>
      </c>
      <c r="S41" s="72" t="s">
        <v>55</v>
      </c>
      <c r="T41" s="72" t="s">
        <v>86</v>
      </c>
    </row>
    <row r="42" ht="43.2" spans="1:20">
      <c r="A42" s="30">
        <v>28</v>
      </c>
      <c r="B42" s="31" t="s">
        <v>28</v>
      </c>
      <c r="C42" s="31" t="s">
        <v>60</v>
      </c>
      <c r="D42" s="30" t="s">
        <v>57</v>
      </c>
      <c r="E42" s="167" t="s">
        <v>41</v>
      </c>
      <c r="F42" s="167" t="s">
        <v>41</v>
      </c>
      <c r="G42" s="168" t="s">
        <v>41</v>
      </c>
      <c r="H42" s="35">
        <v>45526</v>
      </c>
      <c r="I42" s="30">
        <v>0</v>
      </c>
      <c r="J42" s="30">
        <v>22398</v>
      </c>
      <c r="K42" s="32" t="s">
        <v>34</v>
      </c>
      <c r="L42" s="30">
        <v>0</v>
      </c>
      <c r="M42" s="30" t="s">
        <v>97</v>
      </c>
      <c r="N42" s="37">
        <f ca="1" t="shared" si="1"/>
        <v>24.2</v>
      </c>
      <c r="O42" s="61">
        <v>46266</v>
      </c>
      <c r="P42" s="30">
        <f t="shared" si="0"/>
        <v>22398</v>
      </c>
      <c r="Q42" s="31" t="s">
        <v>61</v>
      </c>
      <c r="R42" s="30" t="s">
        <v>122</v>
      </c>
      <c r="S42" s="39" t="s">
        <v>38</v>
      </c>
      <c r="T42" s="77"/>
    </row>
    <row r="43" ht="43.2" spans="1:20">
      <c r="A43" s="30">
        <v>35</v>
      </c>
      <c r="B43" s="31" t="s">
        <v>28</v>
      </c>
      <c r="C43" s="31" t="s">
        <v>60</v>
      </c>
      <c r="D43" s="30" t="s">
        <v>57</v>
      </c>
      <c r="E43" s="167" t="s">
        <v>41</v>
      </c>
      <c r="F43" s="167" t="s">
        <v>41</v>
      </c>
      <c r="G43" s="168" t="s">
        <v>41</v>
      </c>
      <c r="H43" s="35">
        <v>45526</v>
      </c>
      <c r="I43" s="30">
        <v>0</v>
      </c>
      <c r="J43" s="30">
        <v>9894</v>
      </c>
      <c r="K43" s="32" t="s">
        <v>34</v>
      </c>
      <c r="L43" s="30">
        <v>0</v>
      </c>
      <c r="M43" s="30" t="s">
        <v>97</v>
      </c>
      <c r="N43" s="37">
        <f ca="1" t="shared" si="1"/>
        <v>24.2</v>
      </c>
      <c r="O43" s="61">
        <v>46266</v>
      </c>
      <c r="P43" s="30">
        <f t="shared" si="0"/>
        <v>9894</v>
      </c>
      <c r="Q43" s="31" t="s">
        <v>61</v>
      </c>
      <c r="R43" s="30" t="s">
        <v>123</v>
      </c>
      <c r="S43" s="39" t="s">
        <v>38</v>
      </c>
      <c r="T43" s="77"/>
    </row>
    <row r="44" ht="57.6" spans="1:20">
      <c r="A44" s="41">
        <v>40</v>
      </c>
      <c r="B44" s="42" t="s">
        <v>28</v>
      </c>
      <c r="C44" s="42" t="s">
        <v>124</v>
      </c>
      <c r="D44" s="41" t="s">
        <v>57</v>
      </c>
      <c r="E44" s="165" t="s">
        <v>41</v>
      </c>
      <c r="F44" s="165" t="s">
        <v>41</v>
      </c>
      <c r="G44" s="166" t="s">
        <v>41</v>
      </c>
      <c r="H44" s="74">
        <v>45526</v>
      </c>
      <c r="I44" s="41">
        <v>0</v>
      </c>
      <c r="J44" s="41">
        <v>6173</v>
      </c>
      <c r="K44" s="43" t="s">
        <v>34</v>
      </c>
      <c r="L44" s="41">
        <v>0</v>
      </c>
      <c r="M44" s="41" t="s">
        <v>42</v>
      </c>
      <c r="N44" s="37">
        <f ca="1" t="shared" si="1"/>
        <v>24.2</v>
      </c>
      <c r="O44" s="47">
        <v>46357</v>
      </c>
      <c r="P44" s="41">
        <f t="shared" si="0"/>
        <v>6173</v>
      </c>
      <c r="Q44" s="42" t="s">
        <v>125</v>
      </c>
      <c r="R44" s="41" t="s">
        <v>126</v>
      </c>
      <c r="S44" s="48" t="s">
        <v>45</v>
      </c>
      <c r="T44" s="50"/>
    </row>
    <row r="45" ht="57.6" spans="1:20">
      <c r="A45" s="41">
        <v>43</v>
      </c>
      <c r="B45" s="42" t="s">
        <v>28</v>
      </c>
      <c r="C45" s="42" t="s">
        <v>124</v>
      </c>
      <c r="D45" s="41" t="s">
        <v>57</v>
      </c>
      <c r="E45" s="165" t="s">
        <v>41</v>
      </c>
      <c r="F45" s="165" t="s">
        <v>41</v>
      </c>
      <c r="G45" s="166" t="s">
        <v>41</v>
      </c>
      <c r="H45" s="74">
        <v>45526</v>
      </c>
      <c r="I45" s="41">
        <v>0</v>
      </c>
      <c r="J45" s="41">
        <v>6173</v>
      </c>
      <c r="K45" s="43" t="s">
        <v>34</v>
      </c>
      <c r="L45" s="41">
        <v>0</v>
      </c>
      <c r="M45" s="41" t="s">
        <v>42</v>
      </c>
      <c r="N45" s="37">
        <f ca="1" t="shared" si="1"/>
        <v>24.2</v>
      </c>
      <c r="O45" s="47">
        <v>46357</v>
      </c>
      <c r="P45" s="41">
        <f t="shared" si="0"/>
        <v>6173</v>
      </c>
      <c r="Q45" s="42" t="s">
        <v>125</v>
      </c>
      <c r="R45" s="41" t="s">
        <v>127</v>
      </c>
      <c r="S45" s="48" t="s">
        <v>45</v>
      </c>
      <c r="T45" s="50"/>
    </row>
    <row r="46" ht="57.6" spans="1:20">
      <c r="A46" s="41">
        <v>50</v>
      </c>
      <c r="B46" s="42" t="s">
        <v>28</v>
      </c>
      <c r="C46" s="42" t="s">
        <v>116</v>
      </c>
      <c r="D46" s="41" t="s">
        <v>57</v>
      </c>
      <c r="E46" s="165" t="s">
        <v>41</v>
      </c>
      <c r="F46" s="165" t="s">
        <v>41</v>
      </c>
      <c r="G46" s="166" t="s">
        <v>41</v>
      </c>
      <c r="H46" s="74">
        <v>45530</v>
      </c>
      <c r="I46" s="41">
        <v>0</v>
      </c>
      <c r="J46" s="41">
        <v>16692</v>
      </c>
      <c r="K46" s="43" t="s">
        <v>34</v>
      </c>
      <c r="L46" s="41">
        <v>0</v>
      </c>
      <c r="M46" s="41" t="s">
        <v>47</v>
      </c>
      <c r="N46" s="37">
        <f ca="1" t="shared" si="1"/>
        <v>24.0666666666667</v>
      </c>
      <c r="O46" s="47">
        <v>46266</v>
      </c>
      <c r="P46" s="41">
        <f t="shared" si="0"/>
        <v>16692</v>
      </c>
      <c r="Q46" s="42" t="s">
        <v>61</v>
      </c>
      <c r="R46" s="41" t="s">
        <v>128</v>
      </c>
      <c r="S46" s="48" t="s">
        <v>45</v>
      </c>
      <c r="T46" s="50"/>
    </row>
    <row r="47" ht="57.6" spans="1:20">
      <c r="A47" s="41">
        <v>47</v>
      </c>
      <c r="B47" s="42" t="s">
        <v>28</v>
      </c>
      <c r="C47" s="42" t="s">
        <v>124</v>
      </c>
      <c r="D47" s="41" t="s">
        <v>57</v>
      </c>
      <c r="E47" s="165" t="s">
        <v>41</v>
      </c>
      <c r="F47" s="165" t="s">
        <v>41</v>
      </c>
      <c r="G47" s="166" t="s">
        <v>41</v>
      </c>
      <c r="H47" s="74">
        <v>45531</v>
      </c>
      <c r="I47" s="41">
        <v>0</v>
      </c>
      <c r="J47" s="41">
        <v>35450</v>
      </c>
      <c r="K47" s="43" t="s">
        <v>34</v>
      </c>
      <c r="L47" s="41">
        <v>0</v>
      </c>
      <c r="M47" s="41" t="s">
        <v>47</v>
      </c>
      <c r="N47" s="37">
        <f ca="1" t="shared" si="1"/>
        <v>24.0333333333333</v>
      </c>
      <c r="O47" s="47">
        <v>46357</v>
      </c>
      <c r="P47" s="41">
        <f t="shared" si="0"/>
        <v>35450</v>
      </c>
      <c r="Q47" s="42" t="s">
        <v>125</v>
      </c>
      <c r="R47" s="41" t="s">
        <v>129</v>
      </c>
      <c r="S47" s="48" t="s">
        <v>45</v>
      </c>
      <c r="T47" s="50"/>
    </row>
    <row r="48" ht="86.4" spans="1:20">
      <c r="A48" s="30">
        <v>46</v>
      </c>
      <c r="B48" s="31" t="s">
        <v>28</v>
      </c>
      <c r="C48" s="31" t="s">
        <v>130</v>
      </c>
      <c r="D48" s="30" t="s">
        <v>76</v>
      </c>
      <c r="E48" s="167" t="s">
        <v>41</v>
      </c>
      <c r="F48" s="167" t="s">
        <v>41</v>
      </c>
      <c r="G48" s="168" t="s">
        <v>41</v>
      </c>
      <c r="H48" s="35">
        <v>45532</v>
      </c>
      <c r="I48" s="30">
        <v>0</v>
      </c>
      <c r="J48" s="30">
        <v>4400</v>
      </c>
      <c r="K48" s="32" t="s">
        <v>34</v>
      </c>
      <c r="L48" s="30">
        <v>0</v>
      </c>
      <c r="M48" s="30" t="s">
        <v>97</v>
      </c>
      <c r="N48" s="37">
        <f ca="1" t="shared" si="1"/>
        <v>24</v>
      </c>
      <c r="O48" s="61">
        <v>46266</v>
      </c>
      <c r="P48" s="30">
        <f t="shared" si="0"/>
        <v>4400</v>
      </c>
      <c r="Q48" s="31" t="s">
        <v>131</v>
      </c>
      <c r="R48" s="30" t="s">
        <v>132</v>
      </c>
      <c r="S48" s="39" t="s">
        <v>38</v>
      </c>
      <c r="T48" s="77"/>
    </row>
    <row r="49" ht="43.2" spans="1:20">
      <c r="A49" s="30">
        <v>45</v>
      </c>
      <c r="B49" s="31" t="s">
        <v>28</v>
      </c>
      <c r="C49" s="31" t="s">
        <v>29</v>
      </c>
      <c r="D49" s="30" t="s">
        <v>57</v>
      </c>
      <c r="E49" s="167" t="s">
        <v>41</v>
      </c>
      <c r="F49" s="167" t="s">
        <v>41</v>
      </c>
      <c r="G49" s="168" t="s">
        <v>41</v>
      </c>
      <c r="H49" s="35">
        <v>45534</v>
      </c>
      <c r="I49" s="30">
        <v>0</v>
      </c>
      <c r="J49" s="30">
        <v>18531</v>
      </c>
      <c r="K49" s="32" t="s">
        <v>34</v>
      </c>
      <c r="L49" s="30">
        <v>0</v>
      </c>
      <c r="M49" s="30" t="s">
        <v>47</v>
      </c>
      <c r="N49" s="37">
        <f ca="1" t="shared" si="1"/>
        <v>23.9333333333333</v>
      </c>
      <c r="O49" s="61">
        <v>46327</v>
      </c>
      <c r="P49" s="30">
        <f t="shared" ref="P49:P56" si="2">J49</f>
        <v>18531</v>
      </c>
      <c r="Q49" s="31" t="s">
        <v>133</v>
      </c>
      <c r="R49" s="30" t="s">
        <v>134</v>
      </c>
      <c r="S49" s="39" t="s">
        <v>38</v>
      </c>
      <c r="T49" s="77"/>
    </row>
    <row r="50" ht="43.2" spans="1:20">
      <c r="A50" s="30">
        <v>48</v>
      </c>
      <c r="B50" s="31" t="s">
        <v>28</v>
      </c>
      <c r="C50" s="31" t="s">
        <v>29</v>
      </c>
      <c r="D50" s="30" t="s">
        <v>57</v>
      </c>
      <c r="E50" s="167" t="s">
        <v>41</v>
      </c>
      <c r="F50" s="167" t="s">
        <v>41</v>
      </c>
      <c r="G50" s="168" t="s">
        <v>41</v>
      </c>
      <c r="H50" s="35">
        <v>45534</v>
      </c>
      <c r="I50" s="30">
        <v>0</v>
      </c>
      <c r="J50" s="30">
        <v>28743</v>
      </c>
      <c r="K50" s="32" t="s">
        <v>34</v>
      </c>
      <c r="L50" s="30">
        <v>0</v>
      </c>
      <c r="M50" s="30" t="s">
        <v>35</v>
      </c>
      <c r="N50" s="37">
        <f ca="1" t="shared" si="1"/>
        <v>23.9333333333333</v>
      </c>
      <c r="O50" s="61">
        <v>46327</v>
      </c>
      <c r="P50" s="30">
        <f t="shared" si="2"/>
        <v>28743</v>
      </c>
      <c r="Q50" s="31" t="s">
        <v>133</v>
      </c>
      <c r="R50" s="30" t="s">
        <v>135</v>
      </c>
      <c r="S50" s="39" t="s">
        <v>38</v>
      </c>
      <c r="T50" s="77"/>
    </row>
    <row r="51" ht="43.2" spans="1:20">
      <c r="A51" s="30">
        <v>49</v>
      </c>
      <c r="B51" s="31" t="s">
        <v>28</v>
      </c>
      <c r="C51" s="31" t="s">
        <v>29</v>
      </c>
      <c r="D51" s="30" t="s">
        <v>57</v>
      </c>
      <c r="E51" s="167" t="s">
        <v>41</v>
      </c>
      <c r="F51" s="167" t="s">
        <v>41</v>
      </c>
      <c r="G51" s="168" t="s">
        <v>41</v>
      </c>
      <c r="H51" s="35">
        <v>45534</v>
      </c>
      <c r="I51" s="30">
        <v>0</v>
      </c>
      <c r="J51" s="30">
        <v>117519</v>
      </c>
      <c r="K51" s="32" t="s">
        <v>34</v>
      </c>
      <c r="L51" s="30">
        <v>0</v>
      </c>
      <c r="M51" s="30" t="s">
        <v>42</v>
      </c>
      <c r="N51" s="37">
        <f ca="1" t="shared" si="1"/>
        <v>23.9333333333333</v>
      </c>
      <c r="O51" s="61">
        <v>46327</v>
      </c>
      <c r="P51" s="30">
        <f t="shared" si="2"/>
        <v>117519</v>
      </c>
      <c r="Q51" s="31" t="s">
        <v>133</v>
      </c>
      <c r="R51" s="30" t="s">
        <v>136</v>
      </c>
      <c r="S51" s="39" t="s">
        <v>38</v>
      </c>
      <c r="T51" s="77"/>
    </row>
    <row r="52" ht="43.2" spans="1:20">
      <c r="A52" s="30">
        <v>52</v>
      </c>
      <c r="B52" s="31" t="s">
        <v>28</v>
      </c>
      <c r="C52" s="31" t="s">
        <v>29</v>
      </c>
      <c r="D52" s="30" t="s">
        <v>57</v>
      </c>
      <c r="E52" s="167" t="s">
        <v>41</v>
      </c>
      <c r="F52" s="167" t="s">
        <v>41</v>
      </c>
      <c r="G52" s="168" t="s">
        <v>41</v>
      </c>
      <c r="H52" s="35">
        <v>45534</v>
      </c>
      <c r="I52" s="30">
        <v>0</v>
      </c>
      <c r="J52" s="30">
        <v>62715</v>
      </c>
      <c r="K52" s="32" t="s">
        <v>34</v>
      </c>
      <c r="L52" s="30">
        <v>0</v>
      </c>
      <c r="M52" s="30" t="s">
        <v>97</v>
      </c>
      <c r="N52" s="37">
        <f ca="1" t="shared" si="1"/>
        <v>23.9333333333333</v>
      </c>
      <c r="O52" s="61">
        <v>46327</v>
      </c>
      <c r="P52" s="30">
        <f t="shared" si="2"/>
        <v>62715</v>
      </c>
      <c r="Q52" s="31" t="s">
        <v>133</v>
      </c>
      <c r="R52" s="30" t="s">
        <v>137</v>
      </c>
      <c r="S52" s="39" t="s">
        <v>38</v>
      </c>
      <c r="T52" s="77"/>
    </row>
    <row r="53" ht="43.2" spans="1:20">
      <c r="A53" s="30">
        <v>53</v>
      </c>
      <c r="B53" s="31" t="s">
        <v>28</v>
      </c>
      <c r="C53" s="31" t="s">
        <v>29</v>
      </c>
      <c r="D53" s="30" t="s">
        <v>57</v>
      </c>
      <c r="E53" s="167" t="s">
        <v>41</v>
      </c>
      <c r="F53" s="167" t="s">
        <v>41</v>
      </c>
      <c r="G53" s="168" t="s">
        <v>41</v>
      </c>
      <c r="H53" s="35">
        <v>45534</v>
      </c>
      <c r="I53" s="30">
        <v>0</v>
      </c>
      <c r="J53" s="30">
        <v>44480</v>
      </c>
      <c r="K53" s="32" t="s">
        <v>34</v>
      </c>
      <c r="L53" s="30">
        <v>0</v>
      </c>
      <c r="M53" s="30" t="s">
        <v>79</v>
      </c>
      <c r="N53" s="37">
        <f ca="1" t="shared" si="1"/>
        <v>23.9333333333333</v>
      </c>
      <c r="O53" s="61">
        <v>46327</v>
      </c>
      <c r="P53" s="30">
        <f t="shared" si="2"/>
        <v>44480</v>
      </c>
      <c r="Q53" s="31" t="s">
        <v>133</v>
      </c>
      <c r="R53" s="30" t="s">
        <v>138</v>
      </c>
      <c r="S53" s="39" t="s">
        <v>38</v>
      </c>
      <c r="T53" s="77"/>
    </row>
    <row r="54" ht="43.2" spans="1:20">
      <c r="A54" s="30">
        <v>54</v>
      </c>
      <c r="B54" s="31" t="s">
        <v>28</v>
      </c>
      <c r="C54" s="31" t="s">
        <v>29</v>
      </c>
      <c r="D54" s="30" t="s">
        <v>57</v>
      </c>
      <c r="E54" s="167" t="s">
        <v>41</v>
      </c>
      <c r="F54" s="167" t="s">
        <v>41</v>
      </c>
      <c r="G54" s="168" t="s">
        <v>41</v>
      </c>
      <c r="H54" s="35">
        <v>45534</v>
      </c>
      <c r="I54" s="30">
        <v>0</v>
      </c>
      <c r="J54" s="30">
        <v>28299</v>
      </c>
      <c r="K54" s="32" t="s">
        <v>34</v>
      </c>
      <c r="L54" s="30">
        <v>0</v>
      </c>
      <c r="M54" s="30" t="s">
        <v>35</v>
      </c>
      <c r="N54" s="37">
        <f ca="1" t="shared" si="1"/>
        <v>23.9333333333333</v>
      </c>
      <c r="O54" s="61">
        <v>46327</v>
      </c>
      <c r="P54" s="30">
        <f t="shared" si="2"/>
        <v>28299</v>
      </c>
      <c r="Q54" s="31" t="s">
        <v>133</v>
      </c>
      <c r="R54" s="30" t="s">
        <v>139</v>
      </c>
      <c r="S54" s="39" t="s">
        <v>38</v>
      </c>
      <c r="T54" s="77"/>
    </row>
    <row r="55" ht="43.2" spans="1:20">
      <c r="A55" s="30">
        <v>55</v>
      </c>
      <c r="B55" s="31" t="s">
        <v>28</v>
      </c>
      <c r="C55" s="31" t="s">
        <v>29</v>
      </c>
      <c r="D55" s="30" t="s">
        <v>57</v>
      </c>
      <c r="E55" s="167" t="s">
        <v>41</v>
      </c>
      <c r="F55" s="167" t="s">
        <v>41</v>
      </c>
      <c r="G55" s="168" t="s">
        <v>41</v>
      </c>
      <c r="H55" s="35">
        <v>45534</v>
      </c>
      <c r="I55" s="30">
        <v>0</v>
      </c>
      <c r="J55" s="30">
        <v>84809</v>
      </c>
      <c r="K55" s="32" t="s">
        <v>34</v>
      </c>
      <c r="L55" s="30">
        <v>0</v>
      </c>
      <c r="M55" s="30" t="s">
        <v>58</v>
      </c>
      <c r="N55" s="37">
        <f ca="1" t="shared" si="1"/>
        <v>23.9333333333333</v>
      </c>
      <c r="O55" s="61">
        <v>46327</v>
      </c>
      <c r="P55" s="30">
        <f t="shared" si="2"/>
        <v>84809</v>
      </c>
      <c r="Q55" s="31" t="s">
        <v>133</v>
      </c>
      <c r="R55" s="30" t="s">
        <v>140</v>
      </c>
      <c r="S55" s="39" t="s">
        <v>38</v>
      </c>
      <c r="T55" s="77"/>
    </row>
    <row r="56" ht="43.2" spans="1:20">
      <c r="A56" s="30">
        <v>56</v>
      </c>
      <c r="B56" s="31" t="s">
        <v>28</v>
      </c>
      <c r="C56" s="31" t="s">
        <v>29</v>
      </c>
      <c r="D56" s="30" t="s">
        <v>57</v>
      </c>
      <c r="E56" s="167" t="s">
        <v>41</v>
      </c>
      <c r="F56" s="167" t="s">
        <v>41</v>
      </c>
      <c r="G56" s="168" t="s">
        <v>41</v>
      </c>
      <c r="H56" s="35">
        <v>45534</v>
      </c>
      <c r="I56" s="30">
        <v>0</v>
      </c>
      <c r="J56" s="30">
        <v>7661</v>
      </c>
      <c r="K56" s="32" t="s">
        <v>34</v>
      </c>
      <c r="L56" s="30">
        <v>0</v>
      </c>
      <c r="M56" s="30" t="s">
        <v>35</v>
      </c>
      <c r="N56" s="37">
        <f ca="1" t="shared" si="1"/>
        <v>23.9333333333333</v>
      </c>
      <c r="O56" s="61">
        <v>46327</v>
      </c>
      <c r="P56" s="30">
        <f t="shared" si="2"/>
        <v>7661</v>
      </c>
      <c r="Q56" s="31" t="s">
        <v>133</v>
      </c>
      <c r="R56" s="30" t="s">
        <v>141</v>
      </c>
      <c r="S56" s="39" t="s">
        <v>38</v>
      </c>
      <c r="T56" s="77"/>
    </row>
    <row r="57" ht="43.2" spans="1:20">
      <c r="A57" s="65">
        <v>512</v>
      </c>
      <c r="B57" s="79" t="s">
        <v>28</v>
      </c>
      <c r="C57" s="66" t="s">
        <v>29</v>
      </c>
      <c r="D57" s="65" t="s">
        <v>142</v>
      </c>
      <c r="E57" s="67">
        <v>123400</v>
      </c>
      <c r="F57" s="67" t="s">
        <v>143</v>
      </c>
      <c r="G57" s="80" t="s">
        <v>144</v>
      </c>
      <c r="H57" s="76">
        <v>45544</v>
      </c>
      <c r="I57" s="65">
        <v>0</v>
      </c>
      <c r="J57" s="65">
        <v>111900</v>
      </c>
      <c r="K57" s="70" t="s">
        <v>34</v>
      </c>
      <c r="L57" s="65">
        <v>0</v>
      </c>
      <c r="M57" s="65" t="s">
        <v>47</v>
      </c>
      <c r="N57" s="37">
        <f ca="1" t="shared" si="1"/>
        <v>23.6</v>
      </c>
      <c r="O57" s="71">
        <v>46388</v>
      </c>
      <c r="P57" s="65">
        <v>111900</v>
      </c>
      <c r="Q57" s="66" t="s">
        <v>145</v>
      </c>
      <c r="R57" s="65" t="s">
        <v>146</v>
      </c>
      <c r="S57" s="78" t="s">
        <v>103</v>
      </c>
      <c r="T57" s="81"/>
    </row>
    <row r="58" ht="72" spans="1:20">
      <c r="A58" s="30">
        <v>44</v>
      </c>
      <c r="B58" s="31" t="s">
        <v>28</v>
      </c>
      <c r="C58" s="31" t="s">
        <v>147</v>
      </c>
      <c r="D58" s="30" t="s">
        <v>76</v>
      </c>
      <c r="E58" s="167" t="s">
        <v>41</v>
      </c>
      <c r="F58" s="167" t="s">
        <v>41</v>
      </c>
      <c r="G58" s="168" t="s">
        <v>41</v>
      </c>
      <c r="H58" s="35">
        <v>45544</v>
      </c>
      <c r="I58" s="30">
        <v>0</v>
      </c>
      <c r="J58" s="30">
        <v>30800</v>
      </c>
      <c r="K58" s="32" t="s">
        <v>34</v>
      </c>
      <c r="L58" s="30">
        <v>0</v>
      </c>
      <c r="M58" s="30" t="s">
        <v>58</v>
      </c>
      <c r="N58" s="37">
        <f ca="1" t="shared" si="1"/>
        <v>23.6</v>
      </c>
      <c r="O58" s="61">
        <v>46266</v>
      </c>
      <c r="P58" s="30">
        <f>J58</f>
        <v>30800</v>
      </c>
      <c r="Q58" s="31" t="s">
        <v>131</v>
      </c>
      <c r="R58" s="30" t="s">
        <v>148</v>
      </c>
      <c r="S58" s="39" t="s">
        <v>38</v>
      </c>
      <c r="T58" s="77"/>
    </row>
    <row r="59" ht="43.2" spans="1:20">
      <c r="A59" s="30">
        <v>59</v>
      </c>
      <c r="B59" s="31" t="s">
        <v>28</v>
      </c>
      <c r="C59" s="31" t="s">
        <v>29</v>
      </c>
      <c r="D59" s="30" t="s">
        <v>57</v>
      </c>
      <c r="E59" s="167" t="s">
        <v>41</v>
      </c>
      <c r="F59" s="167" t="s">
        <v>41</v>
      </c>
      <c r="G59" s="168" t="s">
        <v>41</v>
      </c>
      <c r="H59" s="35">
        <v>45564</v>
      </c>
      <c r="I59" s="30">
        <v>0</v>
      </c>
      <c r="J59" s="30">
        <v>17736</v>
      </c>
      <c r="K59" s="32" t="s">
        <v>34</v>
      </c>
      <c r="L59" s="30">
        <v>0</v>
      </c>
      <c r="M59" s="30" t="s">
        <v>58</v>
      </c>
      <c r="N59" s="37">
        <f ca="1" t="shared" si="1"/>
        <v>22.9333333333333</v>
      </c>
      <c r="O59" s="61">
        <v>46327</v>
      </c>
      <c r="P59" s="30">
        <f>J59</f>
        <v>17736</v>
      </c>
      <c r="Q59" s="31" t="s">
        <v>66</v>
      </c>
      <c r="R59" s="30" t="s">
        <v>149</v>
      </c>
      <c r="S59" s="39" t="s">
        <v>38</v>
      </c>
      <c r="T59" s="77"/>
    </row>
    <row r="60" ht="43.2" spans="1:20">
      <c r="A60" s="65">
        <v>374</v>
      </c>
      <c r="B60" s="79" t="s">
        <v>28</v>
      </c>
      <c r="C60" s="79" t="s">
        <v>93</v>
      </c>
      <c r="D60" s="82" t="s">
        <v>57</v>
      </c>
      <c r="E60" s="67" t="s">
        <v>31</v>
      </c>
      <c r="F60" s="57" t="s">
        <v>150</v>
      </c>
      <c r="G60" s="83" t="s">
        <v>151</v>
      </c>
      <c r="H60" s="76">
        <v>45574</v>
      </c>
      <c r="I60" s="65">
        <v>0</v>
      </c>
      <c r="J60" s="82">
        <v>4850</v>
      </c>
      <c r="K60" s="70" t="s">
        <v>34</v>
      </c>
      <c r="L60" s="65">
        <v>0</v>
      </c>
      <c r="M60" s="84" t="s">
        <v>79</v>
      </c>
      <c r="N60" s="37">
        <f ca="1" t="shared" si="1"/>
        <v>22.6</v>
      </c>
      <c r="O60" s="71" t="s">
        <v>152</v>
      </c>
      <c r="P60" s="65">
        <v>4850</v>
      </c>
      <c r="Q60" s="66" t="s">
        <v>53</v>
      </c>
      <c r="R60" s="82" t="s">
        <v>153</v>
      </c>
      <c r="S60" s="58" t="s">
        <v>103</v>
      </c>
      <c r="T60" s="5"/>
    </row>
    <row r="61" ht="43.2" spans="1:20">
      <c r="A61" s="65">
        <v>57</v>
      </c>
      <c r="B61" s="66" t="s">
        <v>28</v>
      </c>
      <c r="C61" s="66" t="s">
        <v>93</v>
      </c>
      <c r="D61" s="65" t="s">
        <v>57</v>
      </c>
      <c r="E61" s="67" t="s">
        <v>31</v>
      </c>
      <c r="F61" s="57" t="s">
        <v>94</v>
      </c>
      <c r="G61" s="68" t="s">
        <v>95</v>
      </c>
      <c r="H61" s="68">
        <v>45581</v>
      </c>
      <c r="I61" s="65">
        <v>0</v>
      </c>
      <c r="J61" s="65">
        <v>1107.88</v>
      </c>
      <c r="K61" s="70" t="s">
        <v>83</v>
      </c>
      <c r="L61" s="65">
        <f>J61</f>
        <v>1107.88</v>
      </c>
      <c r="M61" s="65" t="s">
        <v>79</v>
      </c>
      <c r="N61" s="37">
        <f ca="1" t="shared" si="1"/>
        <v>22.3666666666667</v>
      </c>
      <c r="O61" s="71">
        <v>46419</v>
      </c>
      <c r="P61" s="65">
        <f t="shared" ref="P61:P69" si="3">J61</f>
        <v>1107.88</v>
      </c>
      <c r="Q61" s="57" t="s">
        <v>84</v>
      </c>
      <c r="R61" s="65" t="s">
        <v>154</v>
      </c>
      <c r="S61" s="72" t="s">
        <v>55</v>
      </c>
      <c r="T61" s="72" t="s">
        <v>86</v>
      </c>
    </row>
    <row r="62" ht="43.2" spans="1:20">
      <c r="A62" s="65">
        <v>60</v>
      </c>
      <c r="B62" s="66" t="s">
        <v>28</v>
      </c>
      <c r="C62" s="66" t="s">
        <v>93</v>
      </c>
      <c r="D62" s="65" t="s">
        <v>76</v>
      </c>
      <c r="E62" s="67" t="s">
        <v>31</v>
      </c>
      <c r="F62" s="57" t="s">
        <v>100</v>
      </c>
      <c r="G62" s="68" t="s">
        <v>101</v>
      </c>
      <c r="H62" s="68">
        <v>45581</v>
      </c>
      <c r="I62" s="65">
        <v>0</v>
      </c>
      <c r="J62" s="65">
        <v>2516</v>
      </c>
      <c r="K62" s="70" t="s">
        <v>83</v>
      </c>
      <c r="L62" s="65">
        <f>J62</f>
        <v>2516</v>
      </c>
      <c r="M62" s="65" t="s">
        <v>42</v>
      </c>
      <c r="N62" s="37">
        <f ca="1" t="shared" si="1"/>
        <v>22.3666666666667</v>
      </c>
      <c r="O62" s="71">
        <v>46174</v>
      </c>
      <c r="P62" s="65">
        <f t="shared" si="3"/>
        <v>2516</v>
      </c>
      <c r="Q62" s="57" t="s">
        <v>84</v>
      </c>
      <c r="R62" s="65" t="s">
        <v>155</v>
      </c>
      <c r="S62" s="72" t="s">
        <v>103</v>
      </c>
      <c r="T62" s="78" t="s">
        <v>86</v>
      </c>
    </row>
    <row r="63" ht="43.2" spans="1:20">
      <c r="A63" s="65">
        <v>61</v>
      </c>
      <c r="B63" s="66" t="s">
        <v>28</v>
      </c>
      <c r="C63" s="66" t="s">
        <v>93</v>
      </c>
      <c r="D63" s="65" t="s">
        <v>57</v>
      </c>
      <c r="E63" s="67" t="s">
        <v>31</v>
      </c>
      <c r="F63" s="57" t="s">
        <v>94</v>
      </c>
      <c r="G63" s="68" t="s">
        <v>95</v>
      </c>
      <c r="H63" s="68">
        <v>45581</v>
      </c>
      <c r="I63" s="65">
        <v>0</v>
      </c>
      <c r="J63" s="65">
        <v>1107.88</v>
      </c>
      <c r="K63" s="70" t="s">
        <v>83</v>
      </c>
      <c r="L63" s="65">
        <f>J63</f>
        <v>1107.88</v>
      </c>
      <c r="M63" s="65" t="s">
        <v>79</v>
      </c>
      <c r="N63" s="37">
        <f ca="1" t="shared" si="1"/>
        <v>22.3666666666667</v>
      </c>
      <c r="O63" s="71">
        <v>46419</v>
      </c>
      <c r="P63" s="65">
        <f t="shared" si="3"/>
        <v>1107.88</v>
      </c>
      <c r="Q63" s="57" t="s">
        <v>84</v>
      </c>
      <c r="R63" s="65" t="s">
        <v>156</v>
      </c>
      <c r="S63" s="72" t="s">
        <v>55</v>
      </c>
      <c r="T63" s="72" t="s">
        <v>86</v>
      </c>
    </row>
    <row r="64" ht="43.2" spans="1:20">
      <c r="A64" s="65">
        <v>58</v>
      </c>
      <c r="B64" s="66" t="s">
        <v>28</v>
      </c>
      <c r="C64" s="66" t="s">
        <v>93</v>
      </c>
      <c r="D64" s="65" t="s">
        <v>76</v>
      </c>
      <c r="E64" s="67" t="s">
        <v>31</v>
      </c>
      <c r="F64" s="57" t="s">
        <v>100</v>
      </c>
      <c r="G64" s="68" t="s">
        <v>101</v>
      </c>
      <c r="H64" s="68">
        <v>45587</v>
      </c>
      <c r="I64" s="65">
        <v>0</v>
      </c>
      <c r="J64" s="65">
        <v>1266</v>
      </c>
      <c r="K64" s="70" t="s">
        <v>83</v>
      </c>
      <c r="L64" s="65">
        <f>J64</f>
        <v>1266</v>
      </c>
      <c r="M64" s="65" t="s">
        <v>58</v>
      </c>
      <c r="N64" s="37">
        <f ca="1" t="shared" si="1"/>
        <v>22.1666666666667</v>
      </c>
      <c r="O64" s="71">
        <v>46174</v>
      </c>
      <c r="P64" s="65">
        <f t="shared" si="3"/>
        <v>1266</v>
      </c>
      <c r="Q64" s="57" t="s">
        <v>84</v>
      </c>
      <c r="R64" s="65" t="s">
        <v>157</v>
      </c>
      <c r="S64" s="72" t="s">
        <v>103</v>
      </c>
      <c r="T64" s="78" t="s">
        <v>86</v>
      </c>
    </row>
    <row r="65" ht="57.6" spans="1:20">
      <c r="A65" s="41">
        <v>62</v>
      </c>
      <c r="B65" s="42" t="s">
        <v>28</v>
      </c>
      <c r="C65" s="42" t="s">
        <v>158</v>
      </c>
      <c r="D65" s="41" t="s">
        <v>76</v>
      </c>
      <c r="E65" s="165" t="s">
        <v>41</v>
      </c>
      <c r="F65" s="165" t="s">
        <v>41</v>
      </c>
      <c r="G65" s="166" t="s">
        <v>41</v>
      </c>
      <c r="H65" s="74">
        <v>45587</v>
      </c>
      <c r="I65" s="41">
        <v>0</v>
      </c>
      <c r="J65" s="41">
        <v>13200</v>
      </c>
      <c r="K65" s="43" t="s">
        <v>34</v>
      </c>
      <c r="L65" s="41">
        <v>0</v>
      </c>
      <c r="M65" s="41" t="s">
        <v>79</v>
      </c>
      <c r="N65" s="37">
        <f ca="1" t="shared" si="1"/>
        <v>22.1666666666667</v>
      </c>
      <c r="O65" s="47">
        <v>46266</v>
      </c>
      <c r="P65" s="41">
        <f t="shared" si="3"/>
        <v>13200</v>
      </c>
      <c r="Q65" s="42" t="s">
        <v>61</v>
      </c>
      <c r="R65" s="41" t="s">
        <v>159</v>
      </c>
      <c r="S65" s="48" t="s">
        <v>45</v>
      </c>
      <c r="T65" s="50"/>
    </row>
    <row r="66" ht="43.2" spans="1:20">
      <c r="A66" s="65">
        <v>63</v>
      </c>
      <c r="B66" s="66" t="s">
        <v>28</v>
      </c>
      <c r="C66" s="66" t="s">
        <v>93</v>
      </c>
      <c r="D66" s="65" t="s">
        <v>57</v>
      </c>
      <c r="E66" s="67" t="s">
        <v>31</v>
      </c>
      <c r="F66" s="57" t="s">
        <v>94</v>
      </c>
      <c r="G66" s="68" t="s">
        <v>95</v>
      </c>
      <c r="H66" s="68">
        <v>45590</v>
      </c>
      <c r="I66" s="65">
        <v>0</v>
      </c>
      <c r="J66" s="65">
        <v>1107.88</v>
      </c>
      <c r="K66" s="70" t="s">
        <v>83</v>
      </c>
      <c r="L66" s="65">
        <f>J66</f>
        <v>1107.88</v>
      </c>
      <c r="M66" s="70" t="s">
        <v>79</v>
      </c>
      <c r="N66" s="37">
        <f ca="1" t="shared" si="1"/>
        <v>22.0666666666667</v>
      </c>
      <c r="O66" s="71">
        <v>46419</v>
      </c>
      <c r="P66" s="65">
        <f t="shared" si="3"/>
        <v>1107.88</v>
      </c>
      <c r="Q66" s="57" t="s">
        <v>84</v>
      </c>
      <c r="R66" s="65" t="s">
        <v>160</v>
      </c>
      <c r="S66" s="72" t="s">
        <v>55</v>
      </c>
      <c r="T66" s="72" t="s">
        <v>86</v>
      </c>
    </row>
    <row r="67" ht="43.2" spans="1:20">
      <c r="A67" s="65">
        <v>64</v>
      </c>
      <c r="B67" s="66" t="s">
        <v>28</v>
      </c>
      <c r="C67" s="66" t="s">
        <v>93</v>
      </c>
      <c r="D67" s="65" t="s">
        <v>57</v>
      </c>
      <c r="E67" s="67" t="s">
        <v>31</v>
      </c>
      <c r="F67" s="57" t="s">
        <v>94</v>
      </c>
      <c r="G67" s="68" t="s">
        <v>95</v>
      </c>
      <c r="H67" s="68">
        <v>45590</v>
      </c>
      <c r="I67" s="65">
        <v>0</v>
      </c>
      <c r="J67" s="65">
        <v>1905.56</v>
      </c>
      <c r="K67" s="70" t="s">
        <v>83</v>
      </c>
      <c r="L67" s="65">
        <f>J67</f>
        <v>1905.56</v>
      </c>
      <c r="M67" s="70" t="s">
        <v>58</v>
      </c>
      <c r="N67" s="37">
        <f ca="1" t="shared" si="1"/>
        <v>22.0666666666667</v>
      </c>
      <c r="O67" s="71">
        <v>46419</v>
      </c>
      <c r="P67" s="65">
        <f t="shared" si="3"/>
        <v>1905.56</v>
      </c>
      <c r="Q67" s="57" t="s">
        <v>84</v>
      </c>
      <c r="R67" s="65" t="s">
        <v>161</v>
      </c>
      <c r="S67" s="72" t="s">
        <v>55</v>
      </c>
      <c r="T67" s="72" t="s">
        <v>86</v>
      </c>
    </row>
    <row r="68" ht="57.6" spans="1:20">
      <c r="A68" s="41">
        <v>65</v>
      </c>
      <c r="B68" s="42" t="s">
        <v>28</v>
      </c>
      <c r="C68" s="42" t="s">
        <v>162</v>
      </c>
      <c r="D68" s="41" t="s">
        <v>57</v>
      </c>
      <c r="E68" s="165" t="s">
        <v>41</v>
      </c>
      <c r="F68" s="165" t="s">
        <v>41</v>
      </c>
      <c r="G68" s="166" t="s">
        <v>41</v>
      </c>
      <c r="H68" s="74">
        <v>45603</v>
      </c>
      <c r="I68" s="41">
        <v>0</v>
      </c>
      <c r="J68" s="41">
        <v>15322</v>
      </c>
      <c r="K68" s="43" t="s">
        <v>34</v>
      </c>
      <c r="L68" s="41">
        <v>0</v>
      </c>
      <c r="M68" s="43" t="s">
        <v>79</v>
      </c>
      <c r="N68" s="37">
        <f ca="1" t="shared" si="1"/>
        <v>21.6333333333333</v>
      </c>
      <c r="O68" s="47">
        <v>46266</v>
      </c>
      <c r="P68" s="41">
        <f t="shared" si="3"/>
        <v>15322</v>
      </c>
      <c r="Q68" s="42" t="s">
        <v>61</v>
      </c>
      <c r="R68" s="41" t="s">
        <v>163</v>
      </c>
      <c r="S68" s="48" t="s">
        <v>45</v>
      </c>
      <c r="T68" s="50"/>
    </row>
    <row r="69" ht="57.6" spans="1:20">
      <c r="A69" s="41">
        <v>67</v>
      </c>
      <c r="B69" s="42" t="s">
        <v>28</v>
      </c>
      <c r="C69" s="42" t="s">
        <v>162</v>
      </c>
      <c r="D69" s="41" t="s">
        <v>57</v>
      </c>
      <c r="E69" s="165" t="s">
        <v>41</v>
      </c>
      <c r="F69" s="165" t="s">
        <v>41</v>
      </c>
      <c r="G69" s="166" t="s">
        <v>41</v>
      </c>
      <c r="H69" s="74">
        <v>45603</v>
      </c>
      <c r="I69" s="41">
        <v>0</v>
      </c>
      <c r="J69" s="41">
        <v>15322</v>
      </c>
      <c r="K69" s="43" t="s">
        <v>34</v>
      </c>
      <c r="L69" s="41">
        <v>0</v>
      </c>
      <c r="M69" s="43" t="s">
        <v>79</v>
      </c>
      <c r="N69" s="37">
        <f ca="1" t="shared" si="1"/>
        <v>21.6333333333333</v>
      </c>
      <c r="O69" s="47">
        <v>46266</v>
      </c>
      <c r="P69" s="41">
        <f t="shared" si="3"/>
        <v>15322</v>
      </c>
      <c r="Q69" s="42" t="s">
        <v>43</v>
      </c>
      <c r="R69" s="41" t="s">
        <v>164</v>
      </c>
      <c r="S69" s="48" t="s">
        <v>45</v>
      </c>
      <c r="T69" s="50"/>
    </row>
    <row r="70" ht="72" spans="1:20">
      <c r="A70" s="41">
        <v>477</v>
      </c>
      <c r="B70" s="42" t="s">
        <v>28</v>
      </c>
      <c r="C70" s="42" t="s">
        <v>165</v>
      </c>
      <c r="D70" s="41" t="s">
        <v>142</v>
      </c>
      <c r="E70" s="165" t="s">
        <v>41</v>
      </c>
      <c r="F70" s="165" t="s">
        <v>41</v>
      </c>
      <c r="G70" s="166" t="s">
        <v>41</v>
      </c>
      <c r="H70" s="75">
        <v>45611</v>
      </c>
      <c r="I70" s="41">
        <v>0</v>
      </c>
      <c r="J70" s="41">
        <v>10120</v>
      </c>
      <c r="K70" s="43" t="s">
        <v>34</v>
      </c>
      <c r="L70" s="41">
        <v>0</v>
      </c>
      <c r="M70" s="41" t="s">
        <v>97</v>
      </c>
      <c r="N70" s="37">
        <f ca="1" t="shared" si="1"/>
        <v>21.3666666666667</v>
      </c>
      <c r="O70" s="47">
        <v>46388</v>
      </c>
      <c r="P70" s="41">
        <v>10120</v>
      </c>
      <c r="Q70" s="63" t="s">
        <v>53</v>
      </c>
      <c r="R70" s="41" t="s">
        <v>166</v>
      </c>
      <c r="S70" s="48" t="s">
        <v>45</v>
      </c>
      <c r="T70" s="50"/>
    </row>
    <row r="71" ht="57.6" spans="1:20">
      <c r="A71" s="41">
        <v>66</v>
      </c>
      <c r="B71" s="42" t="s">
        <v>28</v>
      </c>
      <c r="C71" s="42" t="s">
        <v>167</v>
      </c>
      <c r="D71" s="41" t="s">
        <v>168</v>
      </c>
      <c r="E71" s="165" t="s">
        <v>41</v>
      </c>
      <c r="F71" s="165" t="s">
        <v>41</v>
      </c>
      <c r="G71" s="166" t="s">
        <v>41</v>
      </c>
      <c r="H71" s="74">
        <v>45614</v>
      </c>
      <c r="I71" s="41">
        <v>0</v>
      </c>
      <c r="J71" s="41">
        <v>58892</v>
      </c>
      <c r="K71" s="43" t="s">
        <v>34</v>
      </c>
      <c r="L71" s="41">
        <v>0</v>
      </c>
      <c r="M71" s="43" t="s">
        <v>47</v>
      </c>
      <c r="N71" s="37">
        <f ca="1" t="shared" si="1"/>
        <v>21.2666666666667</v>
      </c>
      <c r="O71" s="47">
        <v>46266</v>
      </c>
      <c r="P71" s="41">
        <f>J71</f>
        <v>58892</v>
      </c>
      <c r="Q71" s="42" t="s">
        <v>61</v>
      </c>
      <c r="R71" s="41" t="s">
        <v>169</v>
      </c>
      <c r="S71" s="48" t="s">
        <v>45</v>
      </c>
      <c r="T71" s="50"/>
    </row>
    <row r="72" ht="28.8" spans="1:20">
      <c r="A72" s="65">
        <v>548</v>
      </c>
      <c r="B72" s="66" t="s">
        <v>28</v>
      </c>
      <c r="C72" s="79" t="s">
        <v>170</v>
      </c>
      <c r="D72" s="79" t="s">
        <v>142</v>
      </c>
      <c r="E72" s="67"/>
      <c r="F72" s="67"/>
      <c r="G72" s="80"/>
      <c r="H72" s="76">
        <v>45617</v>
      </c>
      <c r="I72" s="65"/>
      <c r="J72" s="82">
        <v>6028</v>
      </c>
      <c r="K72" s="70"/>
      <c r="L72" s="65"/>
      <c r="M72" s="82" t="s">
        <v>47</v>
      </c>
      <c r="N72" s="37">
        <f ca="1" t="shared" ref="N72:N134" si="4">(TODAY()-H72)/30</f>
        <v>21.1666666666667</v>
      </c>
      <c r="O72" s="70"/>
      <c r="P72" s="65">
        <v>6028</v>
      </c>
      <c r="Q72" s="66" t="s">
        <v>171</v>
      </c>
      <c r="R72" s="82" t="s">
        <v>172</v>
      </c>
      <c r="S72" s="5"/>
      <c r="T72" t="s">
        <v>173</v>
      </c>
    </row>
    <row r="73" ht="43.2" spans="1:20">
      <c r="A73" s="51">
        <v>73</v>
      </c>
      <c r="B73" s="52" t="s">
        <v>28</v>
      </c>
      <c r="C73" s="52" t="s">
        <v>49</v>
      </c>
      <c r="D73" s="51" t="s">
        <v>76</v>
      </c>
      <c r="E73" s="85">
        <v>707025</v>
      </c>
      <c r="F73" s="85" t="s">
        <v>174</v>
      </c>
      <c r="G73" s="86" t="s">
        <v>51</v>
      </c>
      <c r="H73" s="87">
        <v>45623</v>
      </c>
      <c r="I73" s="51">
        <v>0</v>
      </c>
      <c r="J73" s="51">
        <v>109314.6</v>
      </c>
      <c r="K73" s="56" t="s">
        <v>34</v>
      </c>
      <c r="L73" s="51">
        <v>0</v>
      </c>
      <c r="M73" s="56" t="s">
        <v>58</v>
      </c>
      <c r="N73" s="37">
        <f ca="1" t="shared" si="4"/>
        <v>20.9666666666667</v>
      </c>
      <c r="O73" s="57" t="s">
        <v>52</v>
      </c>
      <c r="P73" s="51">
        <f>J73</f>
        <v>109314.6</v>
      </c>
      <c r="Q73" s="52" t="s">
        <v>175</v>
      </c>
      <c r="R73" s="51" t="s">
        <v>176</v>
      </c>
      <c r="S73" s="58" t="s">
        <v>55</v>
      </c>
      <c r="T73" s="88"/>
    </row>
    <row r="74" ht="43.2" spans="1:20">
      <c r="A74" s="30">
        <v>478</v>
      </c>
      <c r="B74" s="31" t="s">
        <v>28</v>
      </c>
      <c r="C74" s="31" t="s">
        <v>177</v>
      </c>
      <c r="D74" s="30" t="s">
        <v>142</v>
      </c>
      <c r="E74" s="167" t="s">
        <v>41</v>
      </c>
      <c r="F74" s="167" t="s">
        <v>41</v>
      </c>
      <c r="G74" s="168" t="s">
        <v>41</v>
      </c>
      <c r="H74" s="89">
        <v>45623</v>
      </c>
      <c r="I74" s="30">
        <v>0</v>
      </c>
      <c r="J74" s="30">
        <v>20240</v>
      </c>
      <c r="K74" s="32" t="s">
        <v>34</v>
      </c>
      <c r="L74" s="30">
        <v>0</v>
      </c>
      <c r="M74" s="30" t="s">
        <v>47</v>
      </c>
      <c r="N74" s="37">
        <f ca="1" t="shared" si="4"/>
        <v>20.9666666666667</v>
      </c>
      <c r="O74" s="61">
        <v>46388</v>
      </c>
      <c r="P74" s="30">
        <v>20240</v>
      </c>
      <c r="Q74" s="31" t="s">
        <v>53</v>
      </c>
      <c r="R74" s="30" t="s">
        <v>178</v>
      </c>
      <c r="S74" s="39" t="s">
        <v>38</v>
      </c>
      <c r="T74" s="77"/>
    </row>
    <row r="75" s="1" customFormat="1" ht="43.2" spans="1:20">
      <c r="A75" s="90">
        <v>75</v>
      </c>
      <c r="B75" s="91" t="s">
        <v>28</v>
      </c>
      <c r="C75" s="91" t="s">
        <v>29</v>
      </c>
      <c r="D75" s="90" t="s">
        <v>76</v>
      </c>
      <c r="E75" s="92" t="s">
        <v>31</v>
      </c>
      <c r="F75" s="93" t="s">
        <v>32</v>
      </c>
      <c r="G75" s="94" t="s">
        <v>33</v>
      </c>
      <c r="H75" s="94">
        <v>45629</v>
      </c>
      <c r="I75" s="90">
        <v>0</v>
      </c>
      <c r="J75" s="90">
        <v>58080</v>
      </c>
      <c r="K75" s="95" t="s">
        <v>34</v>
      </c>
      <c r="L75" s="90">
        <v>0</v>
      </c>
      <c r="M75" s="95" t="s">
        <v>97</v>
      </c>
      <c r="N75" s="37">
        <f ca="1" t="shared" si="4"/>
        <v>20.7666666666667</v>
      </c>
      <c r="O75" s="95" t="s">
        <v>179</v>
      </c>
      <c r="P75" s="90">
        <f t="shared" ref="P75:P81" si="5">J75</f>
        <v>58080</v>
      </c>
      <c r="Q75" s="91" t="s">
        <v>180</v>
      </c>
      <c r="R75" s="90" t="s">
        <v>181</v>
      </c>
      <c r="S75" s="96" t="s">
        <v>38</v>
      </c>
      <c r="T75" s="97"/>
    </row>
    <row r="76" ht="43.2" spans="1:20">
      <c r="A76" s="65">
        <v>69</v>
      </c>
      <c r="B76" s="66" t="s">
        <v>28</v>
      </c>
      <c r="C76" s="66" t="s">
        <v>93</v>
      </c>
      <c r="D76" s="65" t="s">
        <v>57</v>
      </c>
      <c r="E76" s="67" t="s">
        <v>31</v>
      </c>
      <c r="F76" s="57" t="s">
        <v>94</v>
      </c>
      <c r="G76" s="68" t="s">
        <v>95</v>
      </c>
      <c r="H76" s="68">
        <v>45631</v>
      </c>
      <c r="I76" s="65">
        <v>0</v>
      </c>
      <c r="J76" s="65">
        <v>1107.88</v>
      </c>
      <c r="K76" s="70" t="s">
        <v>83</v>
      </c>
      <c r="L76" s="65">
        <f>J76</f>
        <v>1107.88</v>
      </c>
      <c r="M76" s="98" t="s">
        <v>79</v>
      </c>
      <c r="N76" s="37">
        <f ca="1" t="shared" si="4"/>
        <v>20.7</v>
      </c>
      <c r="O76" s="71">
        <v>46419</v>
      </c>
      <c r="P76" s="65">
        <f t="shared" si="5"/>
        <v>1107.88</v>
      </c>
      <c r="Q76" s="57" t="s">
        <v>84</v>
      </c>
      <c r="R76" s="65" t="s">
        <v>182</v>
      </c>
      <c r="S76" s="72" t="s">
        <v>55</v>
      </c>
      <c r="T76" s="72" t="s">
        <v>86</v>
      </c>
    </row>
    <row r="77" ht="43.2" spans="1:20">
      <c r="A77" s="65">
        <v>71</v>
      </c>
      <c r="B77" s="66" t="s">
        <v>28</v>
      </c>
      <c r="C77" s="66" t="s">
        <v>93</v>
      </c>
      <c r="D77" s="65" t="s">
        <v>57</v>
      </c>
      <c r="E77" s="67" t="s">
        <v>31</v>
      </c>
      <c r="F77" s="57" t="s">
        <v>94</v>
      </c>
      <c r="G77" s="68" t="s">
        <v>95</v>
      </c>
      <c r="H77" s="68">
        <v>45631</v>
      </c>
      <c r="I77" s="65">
        <v>0</v>
      </c>
      <c r="J77" s="65">
        <v>1107.88</v>
      </c>
      <c r="K77" s="70" t="s">
        <v>83</v>
      </c>
      <c r="L77" s="65">
        <f>J77</f>
        <v>1107.88</v>
      </c>
      <c r="M77" s="98" t="s">
        <v>58</v>
      </c>
      <c r="N77" s="37">
        <f ca="1" t="shared" si="4"/>
        <v>20.7</v>
      </c>
      <c r="O77" s="71">
        <v>46419</v>
      </c>
      <c r="P77" s="65">
        <f t="shared" si="5"/>
        <v>1107.88</v>
      </c>
      <c r="Q77" s="57" t="s">
        <v>84</v>
      </c>
      <c r="R77" s="65" t="s">
        <v>183</v>
      </c>
      <c r="S77" s="72" t="s">
        <v>55</v>
      </c>
      <c r="T77" s="72" t="s">
        <v>86</v>
      </c>
    </row>
    <row r="78" ht="43.2" spans="1:20">
      <c r="A78" s="41">
        <v>74</v>
      </c>
      <c r="B78" s="42" t="s">
        <v>28</v>
      </c>
      <c r="C78" s="42" t="s">
        <v>184</v>
      </c>
      <c r="D78" s="41" t="s">
        <v>76</v>
      </c>
      <c r="E78" s="165" t="s">
        <v>41</v>
      </c>
      <c r="F78" s="165" t="s">
        <v>41</v>
      </c>
      <c r="G78" s="166" t="s">
        <v>41</v>
      </c>
      <c r="H78" s="74">
        <v>45635</v>
      </c>
      <c r="I78" s="41">
        <v>0</v>
      </c>
      <c r="J78" s="41">
        <v>14520</v>
      </c>
      <c r="K78" s="43" t="s">
        <v>34</v>
      </c>
      <c r="L78" s="41">
        <v>0</v>
      </c>
      <c r="M78" s="43" t="s">
        <v>97</v>
      </c>
      <c r="N78" s="37">
        <f ca="1" t="shared" si="4"/>
        <v>20.5666666666667</v>
      </c>
      <c r="O78" s="47">
        <v>46266</v>
      </c>
      <c r="P78" s="41">
        <f t="shared" si="5"/>
        <v>14520</v>
      </c>
      <c r="Q78" s="42" t="s">
        <v>185</v>
      </c>
      <c r="R78" s="41" t="s">
        <v>186</v>
      </c>
      <c r="S78" s="48" t="s">
        <v>45</v>
      </c>
      <c r="T78" s="50"/>
    </row>
    <row r="79" ht="43.2" spans="1:20">
      <c r="A79" s="65">
        <v>70</v>
      </c>
      <c r="B79" s="66" t="s">
        <v>28</v>
      </c>
      <c r="C79" s="66" t="s">
        <v>29</v>
      </c>
      <c r="D79" s="65" t="s">
        <v>76</v>
      </c>
      <c r="E79" s="67" t="s">
        <v>31</v>
      </c>
      <c r="F79" s="57" t="s">
        <v>32</v>
      </c>
      <c r="G79" s="68" t="s">
        <v>33</v>
      </c>
      <c r="H79" s="68">
        <v>45636</v>
      </c>
      <c r="I79" s="65">
        <v>0</v>
      </c>
      <c r="J79" s="65">
        <v>16456</v>
      </c>
      <c r="K79" s="70" t="s">
        <v>83</v>
      </c>
      <c r="L79" s="65">
        <f>J79</f>
        <v>16456</v>
      </c>
      <c r="M79" s="98" t="s">
        <v>42</v>
      </c>
      <c r="N79" s="37">
        <f ca="1" t="shared" si="4"/>
        <v>20.5333333333333</v>
      </c>
      <c r="O79" s="71">
        <v>46327</v>
      </c>
      <c r="P79" s="65">
        <f t="shared" si="5"/>
        <v>16456</v>
      </c>
      <c r="Q79" s="57" t="s">
        <v>84</v>
      </c>
      <c r="R79" s="65" t="s">
        <v>187</v>
      </c>
      <c r="S79" s="72" t="s">
        <v>55</v>
      </c>
      <c r="T79" s="78" t="s">
        <v>86</v>
      </c>
    </row>
    <row r="80" ht="57.6" spans="1:20">
      <c r="A80" s="41">
        <v>72</v>
      </c>
      <c r="B80" s="42" t="s">
        <v>28</v>
      </c>
      <c r="C80" s="42" t="s">
        <v>188</v>
      </c>
      <c r="D80" s="41" t="s">
        <v>76</v>
      </c>
      <c r="E80" s="165" t="s">
        <v>41</v>
      </c>
      <c r="F80" s="165" t="s">
        <v>41</v>
      </c>
      <c r="G80" s="166" t="s">
        <v>41</v>
      </c>
      <c r="H80" s="74">
        <v>45639</v>
      </c>
      <c r="I80" s="41">
        <v>0</v>
      </c>
      <c r="J80" s="41">
        <v>140800</v>
      </c>
      <c r="K80" s="43" t="s">
        <v>34</v>
      </c>
      <c r="L80" s="41">
        <v>0</v>
      </c>
      <c r="M80" s="43" t="s">
        <v>47</v>
      </c>
      <c r="N80" s="37">
        <f ca="1" t="shared" si="4"/>
        <v>20.4333333333333</v>
      </c>
      <c r="O80" s="47"/>
      <c r="P80" s="41">
        <f t="shared" si="5"/>
        <v>140800</v>
      </c>
      <c r="Q80" s="42" t="s">
        <v>189</v>
      </c>
      <c r="R80" s="41" t="s">
        <v>190</v>
      </c>
      <c r="S80" s="48" t="s">
        <v>45</v>
      </c>
      <c r="T80" s="50"/>
    </row>
    <row r="81" s="1" customFormat="1" ht="43.2" spans="1:20">
      <c r="A81" s="90">
        <v>76</v>
      </c>
      <c r="B81" s="91" t="s">
        <v>28</v>
      </c>
      <c r="C81" s="91" t="s">
        <v>191</v>
      </c>
      <c r="D81" s="90" t="s">
        <v>57</v>
      </c>
      <c r="E81" s="169" t="s">
        <v>41</v>
      </c>
      <c r="F81" s="169" t="s">
        <v>41</v>
      </c>
      <c r="G81" s="170" t="s">
        <v>41</v>
      </c>
      <c r="H81" s="94">
        <v>45639</v>
      </c>
      <c r="I81" s="90">
        <v>0</v>
      </c>
      <c r="J81" s="90">
        <v>6371</v>
      </c>
      <c r="K81" s="95" t="s">
        <v>34</v>
      </c>
      <c r="L81" s="90">
        <v>0</v>
      </c>
      <c r="M81" s="95" t="s">
        <v>47</v>
      </c>
      <c r="N81" s="37">
        <f ca="1" t="shared" si="4"/>
        <v>20.4333333333333</v>
      </c>
      <c r="O81" s="100">
        <v>46266</v>
      </c>
      <c r="P81" s="90">
        <f t="shared" si="5"/>
        <v>6371</v>
      </c>
      <c r="Q81" s="91" t="s">
        <v>43</v>
      </c>
      <c r="R81" s="90" t="s">
        <v>192</v>
      </c>
      <c r="S81" s="96" t="s">
        <v>45</v>
      </c>
      <c r="T81" s="97"/>
    </row>
    <row r="82" ht="43.2" spans="1:20">
      <c r="A82" s="65">
        <v>549</v>
      </c>
      <c r="B82" s="79" t="s">
        <v>28</v>
      </c>
      <c r="C82" s="79" t="s">
        <v>29</v>
      </c>
      <c r="D82" s="79" t="s">
        <v>142</v>
      </c>
      <c r="E82" s="67"/>
      <c r="F82" s="67"/>
      <c r="G82" s="80"/>
      <c r="H82" s="76">
        <v>45643</v>
      </c>
      <c r="I82" s="65"/>
      <c r="J82" s="82">
        <v>194920</v>
      </c>
      <c r="K82" s="70"/>
      <c r="L82" s="65"/>
      <c r="M82" s="82" t="s">
        <v>47</v>
      </c>
      <c r="N82" s="37">
        <f ca="1" t="shared" si="4"/>
        <v>20.3</v>
      </c>
      <c r="O82" s="70"/>
      <c r="P82" s="65">
        <v>194920</v>
      </c>
      <c r="Q82" s="66" t="s">
        <v>193</v>
      </c>
      <c r="R82" s="82" t="s">
        <v>194</v>
      </c>
      <c r="S82" s="5"/>
    </row>
    <row r="83" ht="43.2" spans="1:20">
      <c r="A83" s="65">
        <v>88</v>
      </c>
      <c r="B83" s="79" t="s">
        <v>28</v>
      </c>
      <c r="C83" s="79" t="s">
        <v>93</v>
      </c>
      <c r="D83" s="82" t="s">
        <v>57</v>
      </c>
      <c r="E83" s="67" t="s">
        <v>31</v>
      </c>
      <c r="F83" s="57" t="s">
        <v>94</v>
      </c>
      <c r="G83" s="68" t="s">
        <v>95</v>
      </c>
      <c r="H83" s="68">
        <v>45645</v>
      </c>
      <c r="I83" s="65">
        <v>0</v>
      </c>
      <c r="J83" s="82">
        <v>1107.88</v>
      </c>
      <c r="K83" s="70" t="s">
        <v>83</v>
      </c>
      <c r="L83" s="65">
        <f>J83</f>
        <v>1107.88</v>
      </c>
      <c r="M83" s="98" t="s">
        <v>97</v>
      </c>
      <c r="N83" s="37">
        <f ca="1" t="shared" si="4"/>
        <v>20.2333333333333</v>
      </c>
      <c r="O83" s="71">
        <v>46419</v>
      </c>
      <c r="P83" s="65">
        <f>J83</f>
        <v>1107.88</v>
      </c>
      <c r="Q83" s="57" t="s">
        <v>84</v>
      </c>
      <c r="R83" s="82" t="s">
        <v>195</v>
      </c>
      <c r="S83" s="58" t="s">
        <v>55</v>
      </c>
      <c r="T83" s="58" t="s">
        <v>86</v>
      </c>
    </row>
    <row r="84" ht="43.2" spans="1:20">
      <c r="A84" s="65">
        <v>93</v>
      </c>
      <c r="B84" s="79" t="s">
        <v>28</v>
      </c>
      <c r="C84" s="79" t="s">
        <v>29</v>
      </c>
      <c r="D84" s="82" t="s">
        <v>76</v>
      </c>
      <c r="E84" s="67" t="s">
        <v>31</v>
      </c>
      <c r="F84" s="57" t="s">
        <v>81</v>
      </c>
      <c r="G84" s="68" t="s">
        <v>82</v>
      </c>
      <c r="H84" s="68">
        <v>45645</v>
      </c>
      <c r="I84" s="65">
        <v>0</v>
      </c>
      <c r="J84" s="82">
        <v>595</v>
      </c>
      <c r="K84" s="70" t="s">
        <v>83</v>
      </c>
      <c r="L84" s="65">
        <f>J84</f>
        <v>595</v>
      </c>
      <c r="M84" s="98" t="s">
        <v>79</v>
      </c>
      <c r="N84" s="37">
        <f ca="1" t="shared" si="4"/>
        <v>20.2333333333333</v>
      </c>
      <c r="O84" s="71">
        <v>46235</v>
      </c>
      <c r="P84" s="65">
        <f>J84</f>
        <v>595</v>
      </c>
      <c r="Q84" s="57" t="s">
        <v>84</v>
      </c>
      <c r="R84" s="82" t="s">
        <v>196</v>
      </c>
      <c r="S84" s="58" t="s">
        <v>55</v>
      </c>
      <c r="T84" s="5" t="s">
        <v>86</v>
      </c>
    </row>
    <row r="85" ht="43.2" spans="1:20">
      <c r="A85" s="41">
        <v>86</v>
      </c>
      <c r="B85" s="42" t="s">
        <v>28</v>
      </c>
      <c r="C85" s="42" t="s">
        <v>197</v>
      </c>
      <c r="D85" s="41" t="s">
        <v>76</v>
      </c>
      <c r="E85" s="165" t="s">
        <v>41</v>
      </c>
      <c r="F85" s="165" t="s">
        <v>41</v>
      </c>
      <c r="G85" s="166" t="s">
        <v>41</v>
      </c>
      <c r="H85" s="74">
        <v>45649</v>
      </c>
      <c r="I85" s="41">
        <v>0</v>
      </c>
      <c r="J85" s="41">
        <v>5000</v>
      </c>
      <c r="K85" s="43" t="s">
        <v>34</v>
      </c>
      <c r="L85" s="41">
        <v>0</v>
      </c>
      <c r="M85" s="43" t="s">
        <v>97</v>
      </c>
      <c r="N85" s="37">
        <f ca="1" t="shared" si="4"/>
        <v>20.1</v>
      </c>
      <c r="O85" s="47">
        <v>46266</v>
      </c>
      <c r="P85" s="41">
        <f>J85</f>
        <v>5000</v>
      </c>
      <c r="Q85" s="42" t="s">
        <v>43</v>
      </c>
      <c r="R85" s="41" t="s">
        <v>198</v>
      </c>
      <c r="S85" s="48" t="s">
        <v>45</v>
      </c>
      <c r="T85" s="50"/>
    </row>
    <row r="86" ht="43.2" spans="1:20">
      <c r="A86" s="65">
        <v>551</v>
      </c>
      <c r="B86" s="66" t="s">
        <v>28</v>
      </c>
      <c r="C86" s="79" t="s">
        <v>49</v>
      </c>
      <c r="D86" s="79" t="s">
        <v>57</v>
      </c>
      <c r="E86" s="67">
        <v>598000</v>
      </c>
      <c r="F86" s="67" t="s">
        <v>199</v>
      </c>
      <c r="G86" s="80" t="s">
        <v>200</v>
      </c>
      <c r="H86" s="76">
        <v>45650</v>
      </c>
      <c r="I86" s="65"/>
      <c r="J86" s="82">
        <v>7661</v>
      </c>
      <c r="K86" s="70"/>
      <c r="L86" s="65"/>
      <c r="M86" s="82" t="s">
        <v>42</v>
      </c>
      <c r="N86" s="37">
        <f ca="1" t="shared" si="4"/>
        <v>20.0666666666667</v>
      </c>
      <c r="O86" s="101" t="s">
        <v>52</v>
      </c>
      <c r="P86" s="65">
        <v>7661</v>
      </c>
      <c r="Q86" s="66" t="s">
        <v>201</v>
      </c>
      <c r="R86" s="82" t="s">
        <v>202</v>
      </c>
      <c r="S86" s="5"/>
    </row>
    <row r="87" ht="43.2" spans="1:20">
      <c r="A87" s="65">
        <v>77</v>
      </c>
      <c r="B87" s="66" t="s">
        <v>28</v>
      </c>
      <c r="C87" s="66" t="s">
        <v>93</v>
      </c>
      <c r="D87" s="65" t="s">
        <v>57</v>
      </c>
      <c r="E87" s="67" t="s">
        <v>31</v>
      </c>
      <c r="F87" s="57" t="s">
        <v>94</v>
      </c>
      <c r="G87" s="68" t="s">
        <v>95</v>
      </c>
      <c r="H87" s="68">
        <v>45651</v>
      </c>
      <c r="I87" s="65">
        <v>0</v>
      </c>
      <c r="J87" s="65">
        <v>1107.88</v>
      </c>
      <c r="K87" s="70" t="s">
        <v>83</v>
      </c>
      <c r="L87" s="65">
        <f>J87</f>
        <v>1107.88</v>
      </c>
      <c r="M87" s="70" t="s">
        <v>47</v>
      </c>
      <c r="N87" s="37">
        <f ca="1" t="shared" si="4"/>
        <v>20.0333333333333</v>
      </c>
      <c r="O87" s="71">
        <v>46419</v>
      </c>
      <c r="P87" s="65">
        <f>J87</f>
        <v>1107.88</v>
      </c>
      <c r="Q87" s="57" t="s">
        <v>84</v>
      </c>
      <c r="R87" s="65" t="s">
        <v>203</v>
      </c>
      <c r="S87" s="102"/>
      <c r="T87" s="102" t="s">
        <v>86</v>
      </c>
    </row>
    <row r="88" ht="43.2" spans="1:20">
      <c r="A88" s="65">
        <v>87</v>
      </c>
      <c r="B88" s="79" t="s">
        <v>28</v>
      </c>
      <c r="C88" s="79" t="s">
        <v>93</v>
      </c>
      <c r="D88" s="82" t="s">
        <v>57</v>
      </c>
      <c r="E88" s="67" t="s">
        <v>31</v>
      </c>
      <c r="F88" s="57" t="s">
        <v>94</v>
      </c>
      <c r="G88" s="68" t="s">
        <v>95</v>
      </c>
      <c r="H88" s="68">
        <v>45651</v>
      </c>
      <c r="I88" s="65">
        <v>0</v>
      </c>
      <c r="J88" s="82">
        <v>1174.36</v>
      </c>
      <c r="K88" s="70" t="s">
        <v>83</v>
      </c>
      <c r="L88" s="65">
        <f>J88</f>
        <v>1174.36</v>
      </c>
      <c r="M88" s="98" t="s">
        <v>97</v>
      </c>
      <c r="N88" s="37">
        <f ca="1" t="shared" si="4"/>
        <v>20.0333333333333</v>
      </c>
      <c r="O88" s="71">
        <v>46419</v>
      </c>
      <c r="P88" s="65">
        <f>J88</f>
        <v>1174.36</v>
      </c>
      <c r="Q88" s="57" t="s">
        <v>84</v>
      </c>
      <c r="R88" s="82" t="s">
        <v>204</v>
      </c>
      <c r="S88" s="58" t="s">
        <v>55</v>
      </c>
      <c r="T88" s="58" t="s">
        <v>86</v>
      </c>
    </row>
    <row r="89" ht="43.2" spans="1:20">
      <c r="A89" s="65">
        <v>513</v>
      </c>
      <c r="B89" s="79" t="s">
        <v>28</v>
      </c>
      <c r="C89" s="79" t="s">
        <v>49</v>
      </c>
      <c r="D89" s="82" t="s">
        <v>142</v>
      </c>
      <c r="E89" s="85">
        <v>707025</v>
      </c>
      <c r="F89" s="85" t="s">
        <v>174</v>
      </c>
      <c r="G89" s="86" t="s">
        <v>51</v>
      </c>
      <c r="H89" s="76">
        <v>45654</v>
      </c>
      <c r="I89" s="65">
        <v>0</v>
      </c>
      <c r="J89" s="82">
        <v>71181.6</v>
      </c>
      <c r="K89" s="70" t="s">
        <v>34</v>
      </c>
      <c r="L89" s="65">
        <v>0</v>
      </c>
      <c r="M89" s="82" t="s">
        <v>58</v>
      </c>
      <c r="N89" s="37">
        <f ca="1" t="shared" si="4"/>
        <v>19.9333333333333</v>
      </c>
      <c r="O89" s="57" t="s">
        <v>52</v>
      </c>
      <c r="P89" s="65">
        <v>71181.6</v>
      </c>
      <c r="Q89" s="66" t="s">
        <v>205</v>
      </c>
      <c r="R89" s="82" t="s">
        <v>206</v>
      </c>
      <c r="S89" s="5"/>
    </row>
    <row r="90" ht="43.2" spans="1:20">
      <c r="A90" s="65">
        <v>514</v>
      </c>
      <c r="B90" s="79" t="s">
        <v>28</v>
      </c>
      <c r="C90" s="79" t="s">
        <v>49</v>
      </c>
      <c r="D90" s="82" t="s">
        <v>142</v>
      </c>
      <c r="E90" s="85">
        <v>707025</v>
      </c>
      <c r="F90" s="85" t="s">
        <v>174</v>
      </c>
      <c r="G90" s="86" t="s">
        <v>51</v>
      </c>
      <c r="H90" s="76">
        <v>45654</v>
      </c>
      <c r="I90" s="65">
        <v>0</v>
      </c>
      <c r="J90" s="82">
        <v>383024.8</v>
      </c>
      <c r="K90" s="70" t="s">
        <v>34</v>
      </c>
      <c r="L90" s="65">
        <v>0</v>
      </c>
      <c r="M90" s="82" t="s">
        <v>58</v>
      </c>
      <c r="N90" s="37">
        <f ca="1" t="shared" si="4"/>
        <v>19.9333333333333</v>
      </c>
      <c r="O90" s="57" t="s">
        <v>52</v>
      </c>
      <c r="P90" s="65">
        <v>383024.8</v>
      </c>
      <c r="Q90" s="66" t="s">
        <v>205</v>
      </c>
      <c r="R90" s="82" t="s">
        <v>206</v>
      </c>
      <c r="S90" s="5"/>
    </row>
    <row r="91" ht="43.2" spans="1:20">
      <c r="A91" s="65">
        <v>89</v>
      </c>
      <c r="B91" s="79" t="s">
        <v>28</v>
      </c>
      <c r="C91" s="79" t="s">
        <v>93</v>
      </c>
      <c r="D91" s="82" t="s">
        <v>57</v>
      </c>
      <c r="E91" s="67" t="s">
        <v>31</v>
      </c>
      <c r="F91" s="57" t="s">
        <v>94</v>
      </c>
      <c r="G91" s="68" t="s">
        <v>95</v>
      </c>
      <c r="H91" s="68">
        <v>45654</v>
      </c>
      <c r="I91" s="65">
        <v>0</v>
      </c>
      <c r="J91" s="82">
        <v>1107.88</v>
      </c>
      <c r="K91" s="70" t="s">
        <v>83</v>
      </c>
      <c r="L91" s="65">
        <f>J91</f>
        <v>1107.88</v>
      </c>
      <c r="M91" s="98" t="s">
        <v>42</v>
      </c>
      <c r="N91" s="37">
        <f ca="1" t="shared" si="4"/>
        <v>19.9333333333333</v>
      </c>
      <c r="O91" s="71">
        <v>46419</v>
      </c>
      <c r="P91" s="65">
        <f t="shared" ref="P91:P99" si="6">J91</f>
        <v>1107.88</v>
      </c>
      <c r="Q91" s="57" t="s">
        <v>84</v>
      </c>
      <c r="R91" s="82" t="s">
        <v>207</v>
      </c>
      <c r="S91" s="58" t="s">
        <v>55</v>
      </c>
      <c r="T91" s="58" t="s">
        <v>86</v>
      </c>
    </row>
    <row r="92" ht="72" spans="1:20">
      <c r="A92" s="30">
        <v>79</v>
      </c>
      <c r="B92" s="31" t="s">
        <v>28</v>
      </c>
      <c r="C92" s="31" t="s">
        <v>147</v>
      </c>
      <c r="D92" s="30" t="s">
        <v>76</v>
      </c>
      <c r="E92" s="167" t="s">
        <v>41</v>
      </c>
      <c r="F92" s="167" t="s">
        <v>41</v>
      </c>
      <c r="G92" s="168" t="s">
        <v>41</v>
      </c>
      <c r="H92" s="35">
        <v>45654</v>
      </c>
      <c r="I92" s="30">
        <v>0</v>
      </c>
      <c r="J92" s="30">
        <v>83600</v>
      </c>
      <c r="K92" s="32" t="s">
        <v>34</v>
      </c>
      <c r="L92" s="30">
        <v>0</v>
      </c>
      <c r="M92" s="32" t="s">
        <v>58</v>
      </c>
      <c r="N92" s="37">
        <f ca="1" t="shared" si="4"/>
        <v>19.9333333333333</v>
      </c>
      <c r="O92" s="61">
        <v>46266</v>
      </c>
      <c r="P92" s="30">
        <f t="shared" si="6"/>
        <v>83600</v>
      </c>
      <c r="Q92" s="31" t="s">
        <v>131</v>
      </c>
      <c r="R92" s="30" t="s">
        <v>208</v>
      </c>
      <c r="S92" s="39" t="s">
        <v>38</v>
      </c>
      <c r="T92" s="77"/>
    </row>
    <row r="93" ht="43.2" spans="1:20">
      <c r="A93" s="65">
        <v>94</v>
      </c>
      <c r="B93" s="79" t="s">
        <v>28</v>
      </c>
      <c r="C93" s="79" t="s">
        <v>93</v>
      </c>
      <c r="D93" s="82" t="s">
        <v>57</v>
      </c>
      <c r="E93" s="67" t="s">
        <v>31</v>
      </c>
      <c r="F93" s="57" t="s">
        <v>94</v>
      </c>
      <c r="G93" s="68" t="s">
        <v>95</v>
      </c>
      <c r="H93" s="68">
        <v>45659</v>
      </c>
      <c r="I93" s="65">
        <v>0</v>
      </c>
      <c r="J93" s="82">
        <v>1107.88</v>
      </c>
      <c r="K93" s="70" t="s">
        <v>83</v>
      </c>
      <c r="L93" s="65">
        <f>J93</f>
        <v>1107.88</v>
      </c>
      <c r="M93" s="98" t="s">
        <v>35</v>
      </c>
      <c r="N93" s="37">
        <f ca="1" t="shared" si="4"/>
        <v>19.7666666666667</v>
      </c>
      <c r="O93" s="71">
        <v>46419</v>
      </c>
      <c r="P93" s="65">
        <f t="shared" si="6"/>
        <v>1107.88</v>
      </c>
      <c r="Q93" s="57" t="s">
        <v>84</v>
      </c>
      <c r="R93" s="82" t="s">
        <v>209</v>
      </c>
      <c r="S93" s="58" t="s">
        <v>55</v>
      </c>
      <c r="T93" s="58" t="s">
        <v>86</v>
      </c>
    </row>
    <row r="94" ht="43.2" spans="1:20">
      <c r="A94" s="41">
        <v>96</v>
      </c>
      <c r="B94" s="42" t="s">
        <v>28</v>
      </c>
      <c r="C94" s="42" t="s">
        <v>210</v>
      </c>
      <c r="D94" s="41" t="s">
        <v>57</v>
      </c>
      <c r="E94" s="165" t="s">
        <v>41</v>
      </c>
      <c r="F94" s="165" t="s">
        <v>41</v>
      </c>
      <c r="G94" s="166" t="s">
        <v>41</v>
      </c>
      <c r="H94" s="74">
        <v>45662</v>
      </c>
      <c r="I94" s="41">
        <v>0</v>
      </c>
      <c r="J94" s="41">
        <v>27663</v>
      </c>
      <c r="K94" s="43" t="s">
        <v>34</v>
      </c>
      <c r="L94" s="41">
        <v>0</v>
      </c>
      <c r="M94" s="43" t="s">
        <v>79</v>
      </c>
      <c r="N94" s="37">
        <f ca="1" t="shared" si="4"/>
        <v>19.6666666666667</v>
      </c>
      <c r="O94" s="47">
        <v>46266</v>
      </c>
      <c r="P94" s="41">
        <f t="shared" si="6"/>
        <v>27663</v>
      </c>
      <c r="Q94" s="42" t="s">
        <v>43</v>
      </c>
      <c r="R94" s="41" t="s">
        <v>211</v>
      </c>
      <c r="S94" s="48" t="s">
        <v>45</v>
      </c>
      <c r="T94" s="103"/>
    </row>
    <row r="95" ht="43.2" spans="1:20">
      <c r="A95" s="65">
        <v>83</v>
      </c>
      <c r="B95" s="79" t="s">
        <v>28</v>
      </c>
      <c r="C95" s="79" t="s">
        <v>93</v>
      </c>
      <c r="D95" s="82" t="s">
        <v>76</v>
      </c>
      <c r="E95" s="67" t="s">
        <v>31</v>
      </c>
      <c r="F95" s="57" t="s">
        <v>100</v>
      </c>
      <c r="G95" s="68" t="s">
        <v>101</v>
      </c>
      <c r="H95" s="68">
        <v>45666</v>
      </c>
      <c r="I95" s="65">
        <v>0</v>
      </c>
      <c r="J95" s="82">
        <v>1085</v>
      </c>
      <c r="K95" s="70" t="s">
        <v>83</v>
      </c>
      <c r="L95" s="65">
        <f t="shared" ref="L95:L102" si="7">J95</f>
        <v>1085</v>
      </c>
      <c r="M95" s="98" t="s">
        <v>35</v>
      </c>
      <c r="N95" s="37">
        <f ca="1" t="shared" si="4"/>
        <v>19.5333333333333</v>
      </c>
      <c r="O95" s="71">
        <v>46174</v>
      </c>
      <c r="P95" s="65">
        <f t="shared" si="6"/>
        <v>1085</v>
      </c>
      <c r="Q95" s="57" t="s">
        <v>84</v>
      </c>
      <c r="R95" s="82" t="s">
        <v>212</v>
      </c>
      <c r="S95" s="72" t="s">
        <v>103</v>
      </c>
      <c r="T95" s="58" t="s">
        <v>86</v>
      </c>
    </row>
    <row r="96" ht="43.2" spans="1:20">
      <c r="A96" s="65">
        <v>95</v>
      </c>
      <c r="B96" s="79" t="s">
        <v>28</v>
      </c>
      <c r="C96" s="79" t="s">
        <v>93</v>
      </c>
      <c r="D96" s="82" t="s">
        <v>76</v>
      </c>
      <c r="E96" s="67" t="s">
        <v>31</v>
      </c>
      <c r="F96" s="57" t="s">
        <v>100</v>
      </c>
      <c r="G96" s="68" t="s">
        <v>101</v>
      </c>
      <c r="H96" s="68">
        <v>45666</v>
      </c>
      <c r="I96" s="65">
        <v>0</v>
      </c>
      <c r="J96" s="82">
        <v>1869</v>
      </c>
      <c r="K96" s="70" t="s">
        <v>83</v>
      </c>
      <c r="L96" s="65">
        <f t="shared" si="7"/>
        <v>1869</v>
      </c>
      <c r="M96" s="98" t="s">
        <v>35</v>
      </c>
      <c r="N96" s="37">
        <f ca="1" t="shared" si="4"/>
        <v>19.5333333333333</v>
      </c>
      <c r="O96" s="71">
        <v>46174</v>
      </c>
      <c r="P96" s="65">
        <f t="shared" si="6"/>
        <v>1869</v>
      </c>
      <c r="Q96" s="57" t="s">
        <v>84</v>
      </c>
      <c r="R96" s="82" t="s">
        <v>213</v>
      </c>
      <c r="S96" s="72" t="s">
        <v>103</v>
      </c>
      <c r="T96" s="5" t="s">
        <v>86</v>
      </c>
    </row>
    <row r="97" ht="43.2" spans="1:20">
      <c r="A97" s="65">
        <v>90</v>
      </c>
      <c r="B97" s="79" t="s">
        <v>28</v>
      </c>
      <c r="C97" s="79" t="s">
        <v>93</v>
      </c>
      <c r="D97" s="82" t="s">
        <v>57</v>
      </c>
      <c r="E97" s="67" t="s">
        <v>31</v>
      </c>
      <c r="F97" s="57" t="s">
        <v>94</v>
      </c>
      <c r="G97" s="68" t="s">
        <v>95</v>
      </c>
      <c r="H97" s="68">
        <v>45667</v>
      </c>
      <c r="I97" s="65">
        <v>0</v>
      </c>
      <c r="J97" s="82">
        <v>1107.88</v>
      </c>
      <c r="K97" s="70" t="s">
        <v>83</v>
      </c>
      <c r="L97" s="65">
        <f t="shared" si="7"/>
        <v>1107.88</v>
      </c>
      <c r="M97" s="98" t="s">
        <v>42</v>
      </c>
      <c r="N97" s="37">
        <f ca="1" t="shared" si="4"/>
        <v>19.5</v>
      </c>
      <c r="O97" s="71">
        <v>46419</v>
      </c>
      <c r="P97" s="65">
        <f t="shared" si="6"/>
        <v>1107.88</v>
      </c>
      <c r="Q97" s="57" t="s">
        <v>84</v>
      </c>
      <c r="R97" s="82" t="s">
        <v>214</v>
      </c>
      <c r="S97" s="58" t="s">
        <v>55</v>
      </c>
      <c r="T97" s="58" t="s">
        <v>86</v>
      </c>
    </row>
    <row r="98" ht="43.2" spans="1:20">
      <c r="A98" s="65">
        <v>97</v>
      </c>
      <c r="B98" s="79" t="s">
        <v>28</v>
      </c>
      <c r="C98" s="79" t="s">
        <v>93</v>
      </c>
      <c r="D98" s="82" t="s">
        <v>57</v>
      </c>
      <c r="E98" s="67" t="s">
        <v>31</v>
      </c>
      <c r="F98" s="57" t="s">
        <v>94</v>
      </c>
      <c r="G98" s="68" t="s">
        <v>95</v>
      </c>
      <c r="H98" s="68">
        <v>45667</v>
      </c>
      <c r="I98" s="65">
        <v>0</v>
      </c>
      <c r="J98" s="82">
        <v>1107.88</v>
      </c>
      <c r="K98" s="70" t="s">
        <v>83</v>
      </c>
      <c r="L98" s="65">
        <f t="shared" si="7"/>
        <v>1107.88</v>
      </c>
      <c r="M98" s="98" t="s">
        <v>79</v>
      </c>
      <c r="N98" s="37">
        <f ca="1" t="shared" si="4"/>
        <v>19.5</v>
      </c>
      <c r="O98" s="71">
        <v>46419</v>
      </c>
      <c r="P98" s="65">
        <f t="shared" si="6"/>
        <v>1107.88</v>
      </c>
      <c r="Q98" s="57" t="s">
        <v>84</v>
      </c>
      <c r="R98" s="82" t="s">
        <v>215</v>
      </c>
      <c r="S98" s="58" t="s">
        <v>55</v>
      </c>
      <c r="T98" s="58" t="s">
        <v>86</v>
      </c>
    </row>
    <row r="99" ht="43.2" spans="1:20">
      <c r="A99" s="65">
        <v>84</v>
      </c>
      <c r="B99" s="79" t="s">
        <v>28</v>
      </c>
      <c r="C99" s="79" t="s">
        <v>93</v>
      </c>
      <c r="D99" s="82" t="s">
        <v>76</v>
      </c>
      <c r="E99" s="67" t="s">
        <v>31</v>
      </c>
      <c r="F99" s="57" t="s">
        <v>100</v>
      </c>
      <c r="G99" s="68" t="s">
        <v>101</v>
      </c>
      <c r="H99" s="68">
        <v>45672</v>
      </c>
      <c r="I99" s="65">
        <v>0</v>
      </c>
      <c r="J99" s="82">
        <v>771</v>
      </c>
      <c r="K99" s="70" t="s">
        <v>83</v>
      </c>
      <c r="L99" s="65">
        <f t="shared" si="7"/>
        <v>771</v>
      </c>
      <c r="M99" s="98" t="s">
        <v>35</v>
      </c>
      <c r="N99" s="37">
        <f ca="1" t="shared" si="4"/>
        <v>19.3333333333333</v>
      </c>
      <c r="O99" s="71">
        <v>46174</v>
      </c>
      <c r="P99" s="65">
        <f t="shared" si="6"/>
        <v>771</v>
      </c>
      <c r="Q99" s="57" t="s">
        <v>84</v>
      </c>
      <c r="R99" s="82" t="s">
        <v>216</v>
      </c>
      <c r="S99" s="72" t="s">
        <v>103</v>
      </c>
      <c r="T99" s="58" t="s">
        <v>86</v>
      </c>
    </row>
    <row r="100" ht="43.2" spans="1:20">
      <c r="A100" s="51">
        <v>80</v>
      </c>
      <c r="B100" s="52" t="s">
        <v>28</v>
      </c>
      <c r="C100" s="52" t="s">
        <v>49</v>
      </c>
      <c r="D100" s="51" t="s">
        <v>76</v>
      </c>
      <c r="E100" s="101" t="s">
        <v>31</v>
      </c>
      <c r="F100" s="101" t="s">
        <v>217</v>
      </c>
      <c r="G100" s="55" t="s">
        <v>218</v>
      </c>
      <c r="H100" s="87">
        <v>45674</v>
      </c>
      <c r="I100" s="51">
        <v>0</v>
      </c>
      <c r="J100" s="51">
        <v>648261</v>
      </c>
      <c r="K100" s="56" t="s">
        <v>83</v>
      </c>
      <c r="L100" s="51">
        <f t="shared" si="7"/>
        <v>648261</v>
      </c>
      <c r="M100" s="56" t="s">
        <v>79</v>
      </c>
      <c r="N100" s="37">
        <f ca="1" t="shared" si="4"/>
        <v>19.2666666666667</v>
      </c>
      <c r="O100" s="57" t="s">
        <v>52</v>
      </c>
      <c r="P100" s="51">
        <v>648261</v>
      </c>
      <c r="Q100" s="101" t="s">
        <v>219</v>
      </c>
      <c r="R100" s="51" t="s">
        <v>220</v>
      </c>
      <c r="S100" s="104" t="s">
        <v>103</v>
      </c>
      <c r="T100" s="77"/>
    </row>
    <row r="101" ht="43.2" spans="1:20">
      <c r="A101" s="51">
        <v>81</v>
      </c>
      <c r="B101" s="52" t="s">
        <v>28</v>
      </c>
      <c r="C101" s="52" t="s">
        <v>49</v>
      </c>
      <c r="D101" s="51" t="s">
        <v>76</v>
      </c>
      <c r="E101" s="101" t="s">
        <v>31</v>
      </c>
      <c r="F101" s="101" t="s">
        <v>217</v>
      </c>
      <c r="G101" s="55" t="s">
        <v>218</v>
      </c>
      <c r="H101" s="87">
        <v>45674</v>
      </c>
      <c r="I101" s="51">
        <v>0</v>
      </c>
      <c r="J101" s="51">
        <v>62708</v>
      </c>
      <c r="K101" s="56" t="s">
        <v>83</v>
      </c>
      <c r="L101" s="51">
        <f t="shared" si="7"/>
        <v>62708</v>
      </c>
      <c r="M101" s="56" t="s">
        <v>79</v>
      </c>
      <c r="N101" s="37">
        <f ca="1" t="shared" si="4"/>
        <v>19.2666666666667</v>
      </c>
      <c r="O101" s="57" t="s">
        <v>52</v>
      </c>
      <c r="P101" s="51">
        <v>62708</v>
      </c>
      <c r="Q101" s="101" t="s">
        <v>219</v>
      </c>
      <c r="R101" s="51" t="s">
        <v>220</v>
      </c>
      <c r="S101" s="104" t="s">
        <v>103</v>
      </c>
      <c r="T101" s="77"/>
    </row>
    <row r="102" ht="43.2" spans="1:20">
      <c r="A102" s="51">
        <v>82</v>
      </c>
      <c r="B102" s="52" t="s">
        <v>28</v>
      </c>
      <c r="C102" s="52" t="s">
        <v>49</v>
      </c>
      <c r="D102" s="51" t="s">
        <v>76</v>
      </c>
      <c r="E102" s="101" t="s">
        <v>31</v>
      </c>
      <c r="F102" s="101" t="s">
        <v>217</v>
      </c>
      <c r="G102" s="55" t="s">
        <v>218</v>
      </c>
      <c r="H102" s="87">
        <v>45674</v>
      </c>
      <c r="I102" s="51">
        <v>0</v>
      </c>
      <c r="J102" s="51">
        <v>200749</v>
      </c>
      <c r="K102" s="56" t="s">
        <v>83</v>
      </c>
      <c r="L102" s="51">
        <f t="shared" si="7"/>
        <v>200749</v>
      </c>
      <c r="M102" s="56" t="s">
        <v>79</v>
      </c>
      <c r="N102" s="37">
        <f ca="1" t="shared" si="4"/>
        <v>19.2666666666667</v>
      </c>
      <c r="O102" s="57" t="s">
        <v>52</v>
      </c>
      <c r="P102" s="51">
        <v>200749</v>
      </c>
      <c r="Q102" s="101" t="s">
        <v>219</v>
      </c>
      <c r="R102" s="51" t="s">
        <v>220</v>
      </c>
      <c r="S102" s="104" t="s">
        <v>103</v>
      </c>
      <c r="T102" s="77"/>
    </row>
    <row r="103" ht="43.2" spans="1:20">
      <c r="A103" s="51">
        <v>85</v>
      </c>
      <c r="B103" s="52" t="s">
        <v>28</v>
      </c>
      <c r="C103" s="52" t="s">
        <v>49</v>
      </c>
      <c r="D103" s="51" t="s">
        <v>76</v>
      </c>
      <c r="E103" s="101" t="s">
        <v>31</v>
      </c>
      <c r="F103" s="56" t="s">
        <v>221</v>
      </c>
      <c r="G103" s="54" t="s">
        <v>222</v>
      </c>
      <c r="H103" s="87">
        <v>45677</v>
      </c>
      <c r="I103" s="51">
        <v>0</v>
      </c>
      <c r="J103" s="51">
        <v>10592</v>
      </c>
      <c r="K103" s="56" t="s">
        <v>34</v>
      </c>
      <c r="L103" s="51">
        <v>0</v>
      </c>
      <c r="M103" s="56" t="s">
        <v>35</v>
      </c>
      <c r="N103" s="37">
        <f ca="1" t="shared" si="4"/>
        <v>19.1666666666667</v>
      </c>
      <c r="O103" s="101" t="s">
        <v>52</v>
      </c>
      <c r="P103" s="51">
        <f t="shared" ref="P103:P108" si="8">J103</f>
        <v>10592</v>
      </c>
      <c r="Q103" s="101" t="s">
        <v>219</v>
      </c>
      <c r="R103" s="51" t="s">
        <v>223</v>
      </c>
      <c r="S103" s="104" t="s">
        <v>55</v>
      </c>
      <c r="T103" s="77"/>
    </row>
    <row r="104" ht="43.2" spans="1:20">
      <c r="A104" s="65">
        <v>91</v>
      </c>
      <c r="B104" s="79" t="s">
        <v>28</v>
      </c>
      <c r="C104" s="79" t="s">
        <v>93</v>
      </c>
      <c r="D104" s="82" t="s">
        <v>57</v>
      </c>
      <c r="E104" s="67" t="s">
        <v>31</v>
      </c>
      <c r="F104" s="57" t="s">
        <v>94</v>
      </c>
      <c r="G104" s="68" t="s">
        <v>95</v>
      </c>
      <c r="H104" s="68">
        <v>45678</v>
      </c>
      <c r="I104" s="65">
        <v>0</v>
      </c>
      <c r="J104" s="82">
        <v>1107.88</v>
      </c>
      <c r="K104" s="70" t="s">
        <v>34</v>
      </c>
      <c r="L104" s="65">
        <f>J104</f>
        <v>1107.88</v>
      </c>
      <c r="M104" s="98" t="s">
        <v>79</v>
      </c>
      <c r="N104" s="37">
        <f ca="1" t="shared" si="4"/>
        <v>19.1333333333333</v>
      </c>
      <c r="O104" s="71">
        <v>46419</v>
      </c>
      <c r="P104" s="65">
        <f t="shared" si="8"/>
        <v>1107.88</v>
      </c>
      <c r="Q104" s="57" t="s">
        <v>84</v>
      </c>
      <c r="R104" s="82" t="s">
        <v>224</v>
      </c>
      <c r="S104" s="58" t="s">
        <v>55</v>
      </c>
      <c r="T104" s="58" t="s">
        <v>86</v>
      </c>
    </row>
    <row r="105" ht="43.2" spans="1:20">
      <c r="A105" s="65">
        <v>98</v>
      </c>
      <c r="B105" s="79" t="s">
        <v>28</v>
      </c>
      <c r="C105" s="79" t="s">
        <v>93</v>
      </c>
      <c r="D105" s="82" t="s">
        <v>57</v>
      </c>
      <c r="E105" s="67" t="s">
        <v>31</v>
      </c>
      <c r="F105" s="57" t="s">
        <v>94</v>
      </c>
      <c r="G105" s="68" t="s">
        <v>95</v>
      </c>
      <c r="H105" s="68">
        <v>45678</v>
      </c>
      <c r="I105" s="65">
        <v>0</v>
      </c>
      <c r="J105" s="82">
        <v>1107.88</v>
      </c>
      <c r="K105" s="70" t="s">
        <v>83</v>
      </c>
      <c r="L105" s="65">
        <f>J105</f>
        <v>1107.88</v>
      </c>
      <c r="M105" s="82" t="s">
        <v>97</v>
      </c>
      <c r="N105" s="37">
        <f ca="1" t="shared" si="4"/>
        <v>19.1333333333333</v>
      </c>
      <c r="O105" s="71">
        <v>46419</v>
      </c>
      <c r="P105" s="65">
        <f t="shared" si="8"/>
        <v>1107.88</v>
      </c>
      <c r="Q105" s="57" t="s">
        <v>84</v>
      </c>
      <c r="R105" s="82" t="s">
        <v>225</v>
      </c>
      <c r="S105" s="58" t="s">
        <v>55</v>
      </c>
      <c r="T105" s="58" t="s">
        <v>86</v>
      </c>
    </row>
    <row r="106" ht="43.2" spans="1:20">
      <c r="A106" s="65">
        <v>78</v>
      </c>
      <c r="B106" s="79" t="s">
        <v>28</v>
      </c>
      <c r="C106" s="79" t="s">
        <v>93</v>
      </c>
      <c r="D106" s="82" t="s">
        <v>76</v>
      </c>
      <c r="E106" s="67" t="s">
        <v>31</v>
      </c>
      <c r="F106" s="57" t="s">
        <v>100</v>
      </c>
      <c r="G106" s="68" t="s">
        <v>101</v>
      </c>
      <c r="H106" s="68">
        <v>45679</v>
      </c>
      <c r="I106" s="65">
        <v>0</v>
      </c>
      <c r="J106" s="82">
        <v>1771</v>
      </c>
      <c r="K106" s="70" t="s">
        <v>83</v>
      </c>
      <c r="L106" s="65">
        <f>J106</f>
        <v>1771</v>
      </c>
      <c r="M106" s="98" t="s">
        <v>47</v>
      </c>
      <c r="N106" s="37">
        <f ca="1" t="shared" si="4"/>
        <v>19.1</v>
      </c>
      <c r="O106" s="71">
        <v>46174</v>
      </c>
      <c r="P106" s="65">
        <f t="shared" si="8"/>
        <v>1771</v>
      </c>
      <c r="Q106" s="57" t="s">
        <v>84</v>
      </c>
      <c r="R106" s="82" t="s">
        <v>226</v>
      </c>
      <c r="S106" s="72" t="s">
        <v>103</v>
      </c>
      <c r="T106" s="5" t="s">
        <v>86</v>
      </c>
    </row>
    <row r="107" ht="43.2" spans="1:20">
      <c r="A107" s="65">
        <v>100</v>
      </c>
      <c r="B107" s="79" t="s">
        <v>28</v>
      </c>
      <c r="C107" s="79" t="s">
        <v>29</v>
      </c>
      <c r="D107" s="82" t="s">
        <v>76</v>
      </c>
      <c r="E107" s="67" t="s">
        <v>31</v>
      </c>
      <c r="F107" s="57" t="s">
        <v>81</v>
      </c>
      <c r="G107" s="68" t="s">
        <v>82</v>
      </c>
      <c r="H107" s="68">
        <v>45679</v>
      </c>
      <c r="I107" s="65">
        <v>0</v>
      </c>
      <c r="J107" s="82">
        <v>1699.5</v>
      </c>
      <c r="K107" s="70" t="s">
        <v>83</v>
      </c>
      <c r="L107" s="65">
        <f>J107</f>
        <v>1699.5</v>
      </c>
      <c r="M107" s="82" t="s">
        <v>47</v>
      </c>
      <c r="N107" s="37">
        <f ca="1" t="shared" si="4"/>
        <v>19.1</v>
      </c>
      <c r="O107" s="71">
        <v>46174</v>
      </c>
      <c r="P107" s="65">
        <f t="shared" si="8"/>
        <v>1699.5</v>
      </c>
      <c r="Q107" s="57" t="s">
        <v>84</v>
      </c>
      <c r="R107" s="82" t="s">
        <v>227</v>
      </c>
      <c r="S107" s="58" t="s">
        <v>55</v>
      </c>
      <c r="T107" s="58" t="s">
        <v>228</v>
      </c>
    </row>
    <row r="108" ht="43.2" spans="1:20">
      <c r="A108" s="65">
        <v>99</v>
      </c>
      <c r="B108" s="79" t="s">
        <v>28</v>
      </c>
      <c r="C108" s="79" t="s">
        <v>93</v>
      </c>
      <c r="D108" s="82" t="s">
        <v>76</v>
      </c>
      <c r="E108" s="67" t="s">
        <v>31</v>
      </c>
      <c r="F108" s="57" t="s">
        <v>100</v>
      </c>
      <c r="G108" s="68" t="s">
        <v>101</v>
      </c>
      <c r="H108" s="68">
        <v>45681</v>
      </c>
      <c r="I108" s="65">
        <v>0</v>
      </c>
      <c r="J108" s="82">
        <v>1723</v>
      </c>
      <c r="K108" s="70" t="s">
        <v>83</v>
      </c>
      <c r="L108" s="65">
        <f>J108</f>
        <v>1723</v>
      </c>
      <c r="M108" s="82" t="s">
        <v>79</v>
      </c>
      <c r="N108" s="37">
        <f ca="1" t="shared" si="4"/>
        <v>19.0333333333333</v>
      </c>
      <c r="O108" s="71">
        <v>46174</v>
      </c>
      <c r="P108" s="65">
        <f t="shared" si="8"/>
        <v>1723</v>
      </c>
      <c r="Q108" s="57" t="s">
        <v>84</v>
      </c>
      <c r="R108" s="82" t="s">
        <v>229</v>
      </c>
      <c r="S108" s="72" t="s">
        <v>103</v>
      </c>
      <c r="T108" s="5" t="s">
        <v>86</v>
      </c>
    </row>
    <row r="109" ht="43.2" spans="1:20">
      <c r="A109" s="65">
        <v>550</v>
      </c>
      <c r="B109" s="79" t="s">
        <v>28</v>
      </c>
      <c r="C109" s="79" t="s">
        <v>29</v>
      </c>
      <c r="D109" s="79" t="s">
        <v>142</v>
      </c>
      <c r="E109" s="67"/>
      <c r="F109" s="67"/>
      <c r="G109" s="80"/>
      <c r="H109" s="76">
        <v>45681</v>
      </c>
      <c r="I109" s="65"/>
      <c r="J109" s="82">
        <v>48372</v>
      </c>
      <c r="K109" s="70"/>
      <c r="L109" s="65"/>
      <c r="M109" s="82" t="s">
        <v>47</v>
      </c>
      <c r="N109" s="37">
        <f ca="1" t="shared" si="4"/>
        <v>19.0333333333333</v>
      </c>
      <c r="O109" s="70"/>
      <c r="P109" s="65">
        <v>48372</v>
      </c>
      <c r="Q109" s="66" t="s">
        <v>230</v>
      </c>
      <c r="R109" s="82" t="s">
        <v>231</v>
      </c>
      <c r="S109" s="5"/>
    </row>
    <row r="110" ht="43.2" spans="1:20">
      <c r="A110" s="65">
        <v>104</v>
      </c>
      <c r="B110" s="79" t="s">
        <v>28</v>
      </c>
      <c r="C110" s="79" t="s">
        <v>93</v>
      </c>
      <c r="D110" s="82" t="s">
        <v>76</v>
      </c>
      <c r="E110" s="67" t="s">
        <v>31</v>
      </c>
      <c r="F110" s="57" t="s">
        <v>100</v>
      </c>
      <c r="G110" s="68" t="s">
        <v>101</v>
      </c>
      <c r="H110" s="68">
        <v>45683</v>
      </c>
      <c r="I110" s="65">
        <v>0</v>
      </c>
      <c r="J110" s="82">
        <v>3987</v>
      </c>
      <c r="K110" s="70" t="s">
        <v>83</v>
      </c>
      <c r="L110" s="65">
        <f>J110</f>
        <v>3987</v>
      </c>
      <c r="M110" s="82" t="s">
        <v>79</v>
      </c>
      <c r="N110" s="37">
        <f ca="1" t="shared" si="4"/>
        <v>18.9666666666667</v>
      </c>
      <c r="O110" s="71">
        <v>46174</v>
      </c>
      <c r="P110" s="65">
        <f t="shared" ref="P110:P115" si="9">J110</f>
        <v>3987</v>
      </c>
      <c r="Q110" s="57" t="s">
        <v>84</v>
      </c>
      <c r="R110" s="82" t="s">
        <v>232</v>
      </c>
      <c r="S110" s="72" t="s">
        <v>103</v>
      </c>
      <c r="T110" s="5" t="s">
        <v>86</v>
      </c>
    </row>
    <row r="111" ht="43.2" spans="1:20">
      <c r="A111" s="65">
        <v>105</v>
      </c>
      <c r="B111" s="79" t="s">
        <v>28</v>
      </c>
      <c r="C111" s="79" t="s">
        <v>93</v>
      </c>
      <c r="D111" s="82" t="s">
        <v>76</v>
      </c>
      <c r="E111" s="67" t="s">
        <v>31</v>
      </c>
      <c r="F111" s="57" t="s">
        <v>100</v>
      </c>
      <c r="G111" s="68" t="s">
        <v>101</v>
      </c>
      <c r="H111" s="68">
        <v>45683</v>
      </c>
      <c r="I111" s="65">
        <v>0</v>
      </c>
      <c r="J111" s="82">
        <v>1237</v>
      </c>
      <c r="K111" s="70" t="s">
        <v>83</v>
      </c>
      <c r="L111" s="65">
        <f>J111</f>
        <v>1237</v>
      </c>
      <c r="M111" s="82" t="s">
        <v>79</v>
      </c>
      <c r="N111" s="37">
        <f ca="1" t="shared" si="4"/>
        <v>18.9666666666667</v>
      </c>
      <c r="O111" s="71">
        <v>46174</v>
      </c>
      <c r="P111" s="65">
        <f t="shared" si="9"/>
        <v>1237</v>
      </c>
      <c r="Q111" s="57" t="s">
        <v>84</v>
      </c>
      <c r="R111" s="82" t="s">
        <v>233</v>
      </c>
      <c r="S111" s="72" t="s">
        <v>103</v>
      </c>
      <c r="T111" s="5" t="s">
        <v>86</v>
      </c>
    </row>
    <row r="112" ht="43.2" spans="1:20">
      <c r="A112" s="65">
        <v>111</v>
      </c>
      <c r="B112" s="79" t="s">
        <v>28</v>
      </c>
      <c r="C112" s="79" t="s">
        <v>93</v>
      </c>
      <c r="D112" s="82" t="s">
        <v>76</v>
      </c>
      <c r="E112" s="67" t="s">
        <v>31</v>
      </c>
      <c r="F112" s="57" t="s">
        <v>100</v>
      </c>
      <c r="G112" s="68" t="s">
        <v>101</v>
      </c>
      <c r="H112" s="68">
        <v>45683</v>
      </c>
      <c r="I112" s="65">
        <v>0</v>
      </c>
      <c r="J112" s="82">
        <v>14094</v>
      </c>
      <c r="K112" s="70" t="s">
        <v>83</v>
      </c>
      <c r="L112" s="65">
        <f>J112</f>
        <v>14094</v>
      </c>
      <c r="M112" s="82" t="s">
        <v>58</v>
      </c>
      <c r="N112" s="37">
        <f ca="1" t="shared" si="4"/>
        <v>18.9666666666667</v>
      </c>
      <c r="O112" s="71">
        <v>46174</v>
      </c>
      <c r="P112" s="65">
        <f t="shared" si="9"/>
        <v>14094</v>
      </c>
      <c r="Q112" s="57" t="s">
        <v>84</v>
      </c>
      <c r="R112" s="82" t="s">
        <v>234</v>
      </c>
      <c r="S112" s="72" t="s">
        <v>103</v>
      </c>
      <c r="T112" s="5" t="s">
        <v>86</v>
      </c>
    </row>
    <row r="113" ht="43.2" spans="1:20">
      <c r="A113" s="30">
        <v>102</v>
      </c>
      <c r="B113" s="31" t="s">
        <v>28</v>
      </c>
      <c r="C113" s="31" t="s">
        <v>29</v>
      </c>
      <c r="D113" s="30" t="s">
        <v>57</v>
      </c>
      <c r="E113" s="33" t="s">
        <v>31</v>
      </c>
      <c r="F113" s="34" t="s">
        <v>32</v>
      </c>
      <c r="G113" s="35" t="s">
        <v>33</v>
      </c>
      <c r="H113" s="35">
        <v>45702</v>
      </c>
      <c r="I113" s="30">
        <v>0</v>
      </c>
      <c r="J113" s="30">
        <v>20058</v>
      </c>
      <c r="K113" s="32" t="s">
        <v>34</v>
      </c>
      <c r="L113" s="30">
        <v>0</v>
      </c>
      <c r="M113" s="30" t="s">
        <v>79</v>
      </c>
      <c r="N113" s="37">
        <f ca="1" t="shared" si="4"/>
        <v>18.3333333333333</v>
      </c>
      <c r="O113" s="32" t="s">
        <v>179</v>
      </c>
      <c r="P113" s="30">
        <f t="shared" si="9"/>
        <v>20058</v>
      </c>
      <c r="Q113" s="31" t="s">
        <v>180</v>
      </c>
      <c r="R113" s="30" t="s">
        <v>235</v>
      </c>
      <c r="S113" s="39" t="s">
        <v>38</v>
      </c>
      <c r="T113" s="77"/>
    </row>
    <row r="114" ht="43.2" spans="1:20">
      <c r="A114" s="30">
        <v>103</v>
      </c>
      <c r="B114" s="31" t="s">
        <v>28</v>
      </c>
      <c r="C114" s="31" t="s">
        <v>29</v>
      </c>
      <c r="D114" s="30" t="s">
        <v>57</v>
      </c>
      <c r="E114" s="33" t="s">
        <v>31</v>
      </c>
      <c r="F114" s="34" t="s">
        <v>236</v>
      </c>
      <c r="G114" s="35" t="s">
        <v>82</v>
      </c>
      <c r="H114" s="35">
        <v>45702</v>
      </c>
      <c r="I114" s="30">
        <v>0</v>
      </c>
      <c r="J114" s="30">
        <v>10181</v>
      </c>
      <c r="K114" s="32" t="s">
        <v>34</v>
      </c>
      <c r="L114" s="30">
        <v>0</v>
      </c>
      <c r="M114" s="30" t="s">
        <v>47</v>
      </c>
      <c r="N114" s="37">
        <f ca="1" t="shared" si="4"/>
        <v>18.3333333333333</v>
      </c>
      <c r="O114" s="32" t="s">
        <v>179</v>
      </c>
      <c r="P114" s="30">
        <f t="shared" si="9"/>
        <v>10181</v>
      </c>
      <c r="Q114" s="31" t="s">
        <v>180</v>
      </c>
      <c r="R114" s="30" t="s">
        <v>237</v>
      </c>
      <c r="S114" s="39" t="s">
        <v>38</v>
      </c>
      <c r="T114" s="77"/>
    </row>
    <row r="115" ht="43.2" spans="1:20">
      <c r="A115" s="65">
        <v>107</v>
      </c>
      <c r="B115" s="79" t="s">
        <v>28</v>
      </c>
      <c r="C115" s="79" t="s">
        <v>93</v>
      </c>
      <c r="D115" s="82" t="s">
        <v>57</v>
      </c>
      <c r="E115" s="67" t="s">
        <v>31</v>
      </c>
      <c r="F115" s="57" t="s">
        <v>94</v>
      </c>
      <c r="G115" s="68" t="s">
        <v>95</v>
      </c>
      <c r="H115" s="68">
        <v>45706</v>
      </c>
      <c r="I115" s="65">
        <v>0</v>
      </c>
      <c r="J115" s="82">
        <v>1107.88</v>
      </c>
      <c r="K115" s="70" t="s">
        <v>83</v>
      </c>
      <c r="L115" s="65">
        <f>J115</f>
        <v>1107.88</v>
      </c>
      <c r="M115" s="82" t="s">
        <v>97</v>
      </c>
      <c r="N115" s="37">
        <f ca="1" t="shared" si="4"/>
        <v>18.2</v>
      </c>
      <c r="O115" s="71">
        <v>46419</v>
      </c>
      <c r="P115" s="65">
        <f t="shared" si="9"/>
        <v>1107.88</v>
      </c>
      <c r="Q115" s="57" t="s">
        <v>84</v>
      </c>
      <c r="R115" s="82" t="s">
        <v>238</v>
      </c>
      <c r="S115" s="58" t="s">
        <v>55</v>
      </c>
      <c r="T115" s="58" t="s">
        <v>86</v>
      </c>
    </row>
    <row r="116" ht="43.2" spans="1:20">
      <c r="A116" s="65">
        <v>515</v>
      </c>
      <c r="B116" s="79" t="s">
        <v>28</v>
      </c>
      <c r="C116" s="79" t="s">
        <v>49</v>
      </c>
      <c r="D116" s="82" t="s">
        <v>142</v>
      </c>
      <c r="E116" s="171" t="s">
        <v>31</v>
      </c>
      <c r="F116" s="57" t="s">
        <v>239</v>
      </c>
      <c r="G116" s="83" t="s">
        <v>218</v>
      </c>
      <c r="H116" s="76">
        <v>45708</v>
      </c>
      <c r="I116" s="65">
        <v>0</v>
      </c>
      <c r="J116" s="82">
        <v>105077.6</v>
      </c>
      <c r="K116" s="70" t="s">
        <v>34</v>
      </c>
      <c r="L116" s="65">
        <v>0</v>
      </c>
      <c r="M116" s="82" t="s">
        <v>79</v>
      </c>
      <c r="N116" s="37">
        <f ca="1" t="shared" si="4"/>
        <v>18.1333333333333</v>
      </c>
      <c r="O116" s="57" t="s">
        <v>52</v>
      </c>
      <c r="P116" s="65">
        <v>105077.6</v>
      </c>
      <c r="Q116" s="66" t="s">
        <v>205</v>
      </c>
      <c r="R116" s="82" t="s">
        <v>240</v>
      </c>
      <c r="S116" s="5" t="s">
        <v>103</v>
      </c>
    </row>
    <row r="117" ht="43.2" spans="1:20">
      <c r="A117" s="65">
        <v>516</v>
      </c>
      <c r="B117" s="79" t="s">
        <v>28</v>
      </c>
      <c r="C117" s="79" t="s">
        <v>49</v>
      </c>
      <c r="D117" s="82" t="s">
        <v>142</v>
      </c>
      <c r="E117" s="171" t="s">
        <v>31</v>
      </c>
      <c r="F117" s="57" t="s">
        <v>241</v>
      </c>
      <c r="G117" s="83" t="s">
        <v>242</v>
      </c>
      <c r="H117" s="76">
        <v>45708</v>
      </c>
      <c r="I117" s="65">
        <v>0</v>
      </c>
      <c r="J117" s="82">
        <v>337688.9</v>
      </c>
      <c r="K117" s="70" t="s">
        <v>34</v>
      </c>
      <c r="L117" s="65">
        <v>0</v>
      </c>
      <c r="M117" s="82" t="s">
        <v>97</v>
      </c>
      <c r="N117" s="37">
        <f ca="1" t="shared" si="4"/>
        <v>18.1333333333333</v>
      </c>
      <c r="O117" s="57" t="s">
        <v>52</v>
      </c>
      <c r="P117" s="65">
        <v>337688.9</v>
      </c>
      <c r="Q117" s="66" t="s">
        <v>201</v>
      </c>
      <c r="R117" s="82" t="s">
        <v>243</v>
      </c>
      <c r="S117" s="5"/>
    </row>
    <row r="118" ht="43.2" spans="1:20">
      <c r="A118" s="65">
        <v>101</v>
      </c>
      <c r="B118" s="79" t="s">
        <v>28</v>
      </c>
      <c r="C118" s="79" t="s">
        <v>93</v>
      </c>
      <c r="D118" s="82" t="s">
        <v>57</v>
      </c>
      <c r="E118" s="67" t="s">
        <v>31</v>
      </c>
      <c r="F118" s="57" t="s">
        <v>94</v>
      </c>
      <c r="G118" s="68" t="s">
        <v>95</v>
      </c>
      <c r="H118" s="68">
        <v>45709</v>
      </c>
      <c r="I118" s="65">
        <v>0</v>
      </c>
      <c r="J118" s="82">
        <v>1107.88</v>
      </c>
      <c r="K118" s="70" t="s">
        <v>83</v>
      </c>
      <c r="L118" s="65">
        <f>J118</f>
        <v>1107.88</v>
      </c>
      <c r="M118" s="82" t="s">
        <v>42</v>
      </c>
      <c r="N118" s="37">
        <f ca="1" t="shared" si="4"/>
        <v>18.1</v>
      </c>
      <c r="O118" s="71">
        <v>46419</v>
      </c>
      <c r="P118" s="65">
        <f t="shared" ref="P118:P129" si="10">J118</f>
        <v>1107.88</v>
      </c>
      <c r="Q118" s="57" t="s">
        <v>84</v>
      </c>
      <c r="R118" s="82" t="s">
        <v>244</v>
      </c>
      <c r="S118" s="58" t="s">
        <v>55</v>
      </c>
      <c r="T118" s="5" t="s">
        <v>86</v>
      </c>
    </row>
    <row r="119" ht="43.2" spans="1:20">
      <c r="A119" s="65">
        <v>106</v>
      </c>
      <c r="B119" s="79" t="s">
        <v>28</v>
      </c>
      <c r="C119" s="79" t="s">
        <v>93</v>
      </c>
      <c r="D119" s="82" t="s">
        <v>57</v>
      </c>
      <c r="E119" s="67" t="s">
        <v>31</v>
      </c>
      <c r="F119" s="57" t="s">
        <v>94</v>
      </c>
      <c r="G119" s="68" t="s">
        <v>95</v>
      </c>
      <c r="H119" s="68">
        <v>45709</v>
      </c>
      <c r="I119" s="65">
        <v>0</v>
      </c>
      <c r="J119" s="82">
        <v>1107.88</v>
      </c>
      <c r="K119" s="70" t="s">
        <v>83</v>
      </c>
      <c r="L119" s="65">
        <f>J119</f>
        <v>1107.88</v>
      </c>
      <c r="M119" s="82" t="s">
        <v>58</v>
      </c>
      <c r="N119" s="37">
        <f ca="1" t="shared" si="4"/>
        <v>18.1</v>
      </c>
      <c r="O119" s="71">
        <v>46419</v>
      </c>
      <c r="P119" s="65">
        <f t="shared" si="10"/>
        <v>1107.88</v>
      </c>
      <c r="Q119" s="57" t="s">
        <v>84</v>
      </c>
      <c r="R119" s="82" t="s">
        <v>245</v>
      </c>
      <c r="S119" s="58" t="s">
        <v>55</v>
      </c>
      <c r="T119" s="58" t="s">
        <v>86</v>
      </c>
    </row>
    <row r="120" ht="43.2" spans="1:20">
      <c r="A120" s="65">
        <v>108</v>
      </c>
      <c r="B120" s="79" t="s">
        <v>28</v>
      </c>
      <c r="C120" s="79" t="s">
        <v>93</v>
      </c>
      <c r="D120" s="82" t="s">
        <v>76</v>
      </c>
      <c r="E120" s="67" t="s">
        <v>31</v>
      </c>
      <c r="F120" s="57" t="s">
        <v>100</v>
      </c>
      <c r="G120" s="68" t="s">
        <v>101</v>
      </c>
      <c r="H120" s="68">
        <v>45709</v>
      </c>
      <c r="I120" s="65">
        <v>0</v>
      </c>
      <c r="J120" s="82">
        <v>1755</v>
      </c>
      <c r="K120" s="70" t="s">
        <v>83</v>
      </c>
      <c r="L120" s="65">
        <f>J120</f>
        <v>1755</v>
      </c>
      <c r="M120" s="82" t="s">
        <v>97</v>
      </c>
      <c r="N120" s="37">
        <f ca="1" t="shared" si="4"/>
        <v>18.1</v>
      </c>
      <c r="O120" s="71">
        <v>46174</v>
      </c>
      <c r="P120" s="65">
        <f t="shared" si="10"/>
        <v>1755</v>
      </c>
      <c r="Q120" s="57" t="s">
        <v>84</v>
      </c>
      <c r="R120" s="82" t="s">
        <v>246</v>
      </c>
      <c r="S120" s="72" t="s">
        <v>103</v>
      </c>
      <c r="T120" s="5" t="s">
        <v>86</v>
      </c>
    </row>
    <row r="121" ht="43.2" spans="1:20">
      <c r="A121" s="65">
        <v>110</v>
      </c>
      <c r="B121" s="79" t="s">
        <v>28</v>
      </c>
      <c r="C121" s="79" t="s">
        <v>93</v>
      </c>
      <c r="D121" s="82" t="s">
        <v>76</v>
      </c>
      <c r="E121" s="67" t="s">
        <v>31</v>
      </c>
      <c r="F121" s="57" t="s">
        <v>100</v>
      </c>
      <c r="G121" s="68" t="s">
        <v>101</v>
      </c>
      <c r="H121" s="68">
        <v>45709</v>
      </c>
      <c r="I121" s="65">
        <v>0</v>
      </c>
      <c r="J121" s="82">
        <v>1223</v>
      </c>
      <c r="K121" s="70" t="s">
        <v>83</v>
      </c>
      <c r="L121" s="65">
        <f>J121</f>
        <v>1223</v>
      </c>
      <c r="M121" s="82" t="s">
        <v>35</v>
      </c>
      <c r="N121" s="37">
        <f ca="1" t="shared" si="4"/>
        <v>18.1</v>
      </c>
      <c r="O121" s="71">
        <v>46174</v>
      </c>
      <c r="P121" s="65">
        <f t="shared" si="10"/>
        <v>1223</v>
      </c>
      <c r="Q121" s="57" t="s">
        <v>84</v>
      </c>
      <c r="R121" s="82" t="s">
        <v>247</v>
      </c>
      <c r="S121" s="72" t="s">
        <v>103</v>
      </c>
      <c r="T121" s="5" t="s">
        <v>86</v>
      </c>
    </row>
    <row r="122" ht="43.2" spans="1:20">
      <c r="A122" s="65">
        <v>109</v>
      </c>
      <c r="B122" s="79" t="s">
        <v>28</v>
      </c>
      <c r="C122" s="79" t="s">
        <v>29</v>
      </c>
      <c r="D122" s="82" t="s">
        <v>76</v>
      </c>
      <c r="E122" s="67" t="s">
        <v>31</v>
      </c>
      <c r="F122" s="57" t="s">
        <v>81</v>
      </c>
      <c r="G122" s="68" t="s">
        <v>82</v>
      </c>
      <c r="H122" s="68">
        <v>45712</v>
      </c>
      <c r="I122" s="65">
        <v>0</v>
      </c>
      <c r="J122" s="82">
        <v>2068</v>
      </c>
      <c r="K122" s="70" t="s">
        <v>83</v>
      </c>
      <c r="L122" s="65">
        <f t="shared" ref="L122:L128" si="11">J122</f>
        <v>2068</v>
      </c>
      <c r="M122" s="82" t="s">
        <v>35</v>
      </c>
      <c r="N122" s="37">
        <f ca="1" t="shared" si="4"/>
        <v>18</v>
      </c>
      <c r="O122" s="71">
        <v>46235</v>
      </c>
      <c r="P122" s="65">
        <f t="shared" si="10"/>
        <v>2068</v>
      </c>
      <c r="Q122" s="57" t="s">
        <v>84</v>
      </c>
      <c r="R122" s="82" t="s">
        <v>248</v>
      </c>
      <c r="S122" s="58" t="s">
        <v>55</v>
      </c>
      <c r="T122" s="5" t="s">
        <v>86</v>
      </c>
    </row>
    <row r="123" ht="43.2" spans="1:20">
      <c r="A123" s="65">
        <v>112</v>
      </c>
      <c r="B123" s="79" t="s">
        <v>28</v>
      </c>
      <c r="C123" s="79" t="s">
        <v>29</v>
      </c>
      <c r="D123" s="82" t="s">
        <v>76</v>
      </c>
      <c r="E123" s="67" t="s">
        <v>31</v>
      </c>
      <c r="F123" s="57" t="s">
        <v>81</v>
      </c>
      <c r="G123" s="68" t="s">
        <v>82</v>
      </c>
      <c r="H123" s="68">
        <v>45712</v>
      </c>
      <c r="I123" s="65">
        <v>0</v>
      </c>
      <c r="J123" s="82">
        <v>641.85</v>
      </c>
      <c r="K123" s="70" t="s">
        <v>83</v>
      </c>
      <c r="L123" s="65">
        <f t="shared" si="11"/>
        <v>641.85</v>
      </c>
      <c r="M123" s="82" t="s">
        <v>42</v>
      </c>
      <c r="N123" s="37">
        <f ca="1" t="shared" si="4"/>
        <v>18</v>
      </c>
      <c r="O123" s="71">
        <v>46174</v>
      </c>
      <c r="P123" s="65">
        <f t="shared" si="10"/>
        <v>641.85</v>
      </c>
      <c r="Q123" s="57" t="s">
        <v>84</v>
      </c>
      <c r="R123" s="82" t="s">
        <v>249</v>
      </c>
      <c r="S123" s="58" t="s">
        <v>55</v>
      </c>
      <c r="T123" s="58" t="s">
        <v>228</v>
      </c>
    </row>
    <row r="124" ht="43.2" spans="1:20">
      <c r="A124" s="65">
        <v>114</v>
      </c>
      <c r="B124" s="79" t="s">
        <v>28</v>
      </c>
      <c r="C124" s="79" t="s">
        <v>93</v>
      </c>
      <c r="D124" s="82" t="s">
        <v>57</v>
      </c>
      <c r="E124" s="67" t="s">
        <v>31</v>
      </c>
      <c r="F124" s="57" t="s">
        <v>94</v>
      </c>
      <c r="G124" s="68" t="s">
        <v>95</v>
      </c>
      <c r="H124" s="68">
        <v>45714</v>
      </c>
      <c r="I124" s="65">
        <v>0</v>
      </c>
      <c r="J124" s="82">
        <v>1721.65</v>
      </c>
      <c r="K124" s="70" t="s">
        <v>83</v>
      </c>
      <c r="L124" s="65">
        <f t="shared" si="11"/>
        <v>1721.65</v>
      </c>
      <c r="M124" s="82" t="s">
        <v>79</v>
      </c>
      <c r="N124" s="37">
        <f ca="1" t="shared" si="4"/>
        <v>17.9333333333333</v>
      </c>
      <c r="O124" s="71">
        <v>46419</v>
      </c>
      <c r="P124" s="65">
        <f t="shared" si="10"/>
        <v>1721.65</v>
      </c>
      <c r="Q124" s="57" t="s">
        <v>84</v>
      </c>
      <c r="R124" s="82" t="s">
        <v>250</v>
      </c>
      <c r="S124" s="58" t="s">
        <v>55</v>
      </c>
      <c r="T124" s="58" t="s">
        <v>86</v>
      </c>
    </row>
    <row r="125" ht="43.2" spans="1:20">
      <c r="A125" s="65">
        <v>115</v>
      </c>
      <c r="B125" s="79" t="s">
        <v>28</v>
      </c>
      <c r="C125" s="79" t="s">
        <v>93</v>
      </c>
      <c r="D125" s="82" t="s">
        <v>76</v>
      </c>
      <c r="E125" s="67" t="s">
        <v>31</v>
      </c>
      <c r="F125" s="57" t="s">
        <v>100</v>
      </c>
      <c r="G125" s="68" t="s">
        <v>101</v>
      </c>
      <c r="H125" s="68">
        <v>45714</v>
      </c>
      <c r="I125" s="65">
        <v>0</v>
      </c>
      <c r="J125" s="82">
        <v>7624</v>
      </c>
      <c r="K125" s="70" t="s">
        <v>83</v>
      </c>
      <c r="L125" s="65">
        <f t="shared" si="11"/>
        <v>7624</v>
      </c>
      <c r="M125" s="82" t="s">
        <v>47</v>
      </c>
      <c r="N125" s="37">
        <f ca="1" t="shared" si="4"/>
        <v>17.9333333333333</v>
      </c>
      <c r="O125" s="71">
        <v>46174</v>
      </c>
      <c r="P125" s="65">
        <f t="shared" si="10"/>
        <v>7624</v>
      </c>
      <c r="Q125" s="57" t="s">
        <v>84</v>
      </c>
      <c r="R125" s="82" t="s">
        <v>251</v>
      </c>
      <c r="S125" s="72" t="s">
        <v>103</v>
      </c>
      <c r="T125" s="5" t="s">
        <v>86</v>
      </c>
    </row>
    <row r="126" ht="43.2" spans="1:20">
      <c r="A126" s="65">
        <v>116</v>
      </c>
      <c r="B126" s="79" t="s">
        <v>28</v>
      </c>
      <c r="C126" s="79" t="s">
        <v>93</v>
      </c>
      <c r="D126" s="82" t="s">
        <v>76</v>
      </c>
      <c r="E126" s="67" t="s">
        <v>31</v>
      </c>
      <c r="F126" s="57" t="s">
        <v>100</v>
      </c>
      <c r="G126" s="68" t="s">
        <v>101</v>
      </c>
      <c r="H126" s="68">
        <v>45714</v>
      </c>
      <c r="I126" s="65">
        <v>0</v>
      </c>
      <c r="J126" s="82">
        <v>6010</v>
      </c>
      <c r="K126" s="70" t="s">
        <v>83</v>
      </c>
      <c r="L126" s="65">
        <f t="shared" si="11"/>
        <v>6010</v>
      </c>
      <c r="M126" s="82" t="s">
        <v>47</v>
      </c>
      <c r="N126" s="37">
        <f ca="1" t="shared" si="4"/>
        <v>17.9333333333333</v>
      </c>
      <c r="O126" s="71">
        <v>46174</v>
      </c>
      <c r="P126" s="65">
        <f t="shared" si="10"/>
        <v>6010</v>
      </c>
      <c r="Q126" s="57" t="s">
        <v>84</v>
      </c>
      <c r="R126" s="82" t="s">
        <v>252</v>
      </c>
      <c r="S126" s="72" t="s">
        <v>103</v>
      </c>
      <c r="T126" s="5" t="s">
        <v>86</v>
      </c>
    </row>
    <row r="127" ht="43.2" spans="1:20">
      <c r="A127" s="65">
        <v>121</v>
      </c>
      <c r="B127" s="79" t="s">
        <v>28</v>
      </c>
      <c r="C127" s="79" t="s">
        <v>93</v>
      </c>
      <c r="D127" s="82" t="s">
        <v>57</v>
      </c>
      <c r="E127" s="67" t="s">
        <v>31</v>
      </c>
      <c r="F127" s="57" t="s">
        <v>94</v>
      </c>
      <c r="G127" s="68" t="s">
        <v>95</v>
      </c>
      <c r="H127" s="68">
        <v>45714</v>
      </c>
      <c r="I127" s="65">
        <v>0</v>
      </c>
      <c r="J127" s="82">
        <v>1292.92</v>
      </c>
      <c r="K127" s="70" t="s">
        <v>83</v>
      </c>
      <c r="L127" s="65">
        <f t="shared" si="11"/>
        <v>1292.92</v>
      </c>
      <c r="M127" s="82" t="s">
        <v>79</v>
      </c>
      <c r="N127" s="37">
        <f ca="1" t="shared" si="4"/>
        <v>17.9333333333333</v>
      </c>
      <c r="O127" s="71">
        <v>46419</v>
      </c>
      <c r="P127" s="65">
        <f t="shared" si="10"/>
        <v>1292.92</v>
      </c>
      <c r="Q127" s="57" t="s">
        <v>84</v>
      </c>
      <c r="R127" s="82" t="s">
        <v>253</v>
      </c>
      <c r="S127" s="58" t="s">
        <v>55</v>
      </c>
      <c r="T127" s="58" t="s">
        <v>86</v>
      </c>
    </row>
    <row r="128" ht="43.2" spans="1:20">
      <c r="A128" s="65">
        <v>120</v>
      </c>
      <c r="B128" s="79" t="s">
        <v>28</v>
      </c>
      <c r="C128" s="79" t="s">
        <v>29</v>
      </c>
      <c r="D128" s="82" t="s">
        <v>254</v>
      </c>
      <c r="E128" s="67" t="s">
        <v>31</v>
      </c>
      <c r="F128" s="57" t="s">
        <v>255</v>
      </c>
      <c r="G128" s="68" t="s">
        <v>256</v>
      </c>
      <c r="H128" s="68">
        <v>45719</v>
      </c>
      <c r="I128" s="65">
        <v>0</v>
      </c>
      <c r="J128" s="82">
        <v>23666</v>
      </c>
      <c r="K128" s="70" t="s">
        <v>83</v>
      </c>
      <c r="L128" s="65">
        <f t="shared" si="11"/>
        <v>23666</v>
      </c>
      <c r="M128" s="82" t="s">
        <v>58</v>
      </c>
      <c r="N128" s="37">
        <f ca="1" t="shared" si="4"/>
        <v>17.7666666666667</v>
      </c>
      <c r="O128" s="71">
        <v>46204</v>
      </c>
      <c r="P128" s="65">
        <f t="shared" si="10"/>
        <v>23666</v>
      </c>
      <c r="Q128" s="57" t="s">
        <v>84</v>
      </c>
      <c r="R128" s="82" t="s">
        <v>257</v>
      </c>
      <c r="S128" s="58" t="s">
        <v>103</v>
      </c>
      <c r="T128" s="58" t="s">
        <v>86</v>
      </c>
    </row>
    <row r="129" ht="43.2" spans="1:20">
      <c r="A129" s="41">
        <v>119</v>
      </c>
      <c r="B129" s="42" t="s">
        <v>28</v>
      </c>
      <c r="C129" s="42" t="s">
        <v>69</v>
      </c>
      <c r="D129" s="42" t="s">
        <v>258</v>
      </c>
      <c r="E129" s="165" t="s">
        <v>41</v>
      </c>
      <c r="F129" s="165" t="s">
        <v>41</v>
      </c>
      <c r="G129" s="166" t="s">
        <v>41</v>
      </c>
      <c r="H129" s="74">
        <v>45726</v>
      </c>
      <c r="I129" s="41">
        <v>0</v>
      </c>
      <c r="J129" s="41">
        <v>9356.84</v>
      </c>
      <c r="K129" s="43" t="s">
        <v>34</v>
      </c>
      <c r="L129" s="41">
        <v>0</v>
      </c>
      <c r="M129" s="41" t="s">
        <v>42</v>
      </c>
      <c r="N129" s="37">
        <f ca="1" t="shared" si="4"/>
        <v>17.5333333333333</v>
      </c>
      <c r="O129" s="47">
        <v>46631</v>
      </c>
      <c r="P129" s="41">
        <f t="shared" si="10"/>
        <v>9356.84</v>
      </c>
      <c r="Q129" s="63" t="s">
        <v>259</v>
      </c>
      <c r="R129" s="41" t="s">
        <v>260</v>
      </c>
      <c r="S129" s="48" t="s">
        <v>45</v>
      </c>
      <c r="T129" s="50"/>
    </row>
    <row r="130" ht="43.2" spans="1:20">
      <c r="A130" s="65">
        <v>122</v>
      </c>
      <c r="B130" s="79" t="s">
        <v>28</v>
      </c>
      <c r="C130" s="79" t="s">
        <v>29</v>
      </c>
      <c r="D130" s="82" t="s">
        <v>76</v>
      </c>
      <c r="E130" s="67" t="s">
        <v>31</v>
      </c>
      <c r="F130" s="57" t="s">
        <v>81</v>
      </c>
      <c r="G130" s="68" t="s">
        <v>82</v>
      </c>
      <c r="H130" s="68">
        <v>45726</v>
      </c>
      <c r="I130" s="65">
        <v>0</v>
      </c>
      <c r="J130" s="82">
        <v>6600</v>
      </c>
      <c r="K130" s="70" t="s">
        <v>83</v>
      </c>
      <c r="L130" s="65">
        <f>J130</f>
        <v>6600</v>
      </c>
      <c r="M130" s="82" t="s">
        <v>97</v>
      </c>
      <c r="N130" s="37">
        <f ca="1" t="shared" si="4"/>
        <v>17.5333333333333</v>
      </c>
      <c r="O130" s="71">
        <v>46235</v>
      </c>
      <c r="P130" s="65">
        <f t="shared" ref="P130:P138" si="12">J130</f>
        <v>6600</v>
      </c>
      <c r="Q130" s="57" t="s">
        <v>84</v>
      </c>
      <c r="R130" s="82" t="s">
        <v>261</v>
      </c>
      <c r="S130" s="58" t="s">
        <v>55</v>
      </c>
      <c r="T130" s="5" t="s">
        <v>86</v>
      </c>
    </row>
    <row r="131" ht="43.2" spans="1:20">
      <c r="A131" s="65">
        <v>123</v>
      </c>
      <c r="B131" s="79" t="s">
        <v>28</v>
      </c>
      <c r="C131" s="79" t="s">
        <v>93</v>
      </c>
      <c r="D131" s="82" t="s">
        <v>57</v>
      </c>
      <c r="E131" s="67" t="s">
        <v>31</v>
      </c>
      <c r="F131" s="57" t="s">
        <v>94</v>
      </c>
      <c r="G131" s="68" t="s">
        <v>95</v>
      </c>
      <c r="H131" s="68">
        <v>45728</v>
      </c>
      <c r="I131" s="65">
        <v>0</v>
      </c>
      <c r="J131" s="82">
        <v>1240.83</v>
      </c>
      <c r="K131" s="70" t="s">
        <v>83</v>
      </c>
      <c r="L131" s="65">
        <f>J131</f>
        <v>1240.83</v>
      </c>
      <c r="M131" s="82" t="s">
        <v>79</v>
      </c>
      <c r="N131" s="37">
        <f ca="1" t="shared" si="4"/>
        <v>17.4666666666667</v>
      </c>
      <c r="O131" s="71">
        <v>46419</v>
      </c>
      <c r="P131" s="65">
        <f t="shared" si="12"/>
        <v>1240.83</v>
      </c>
      <c r="Q131" s="57" t="s">
        <v>84</v>
      </c>
      <c r="R131" s="82" t="s">
        <v>262</v>
      </c>
      <c r="S131" s="58" t="s">
        <v>55</v>
      </c>
      <c r="T131" s="58" t="s">
        <v>86</v>
      </c>
    </row>
    <row r="132" ht="43.2" spans="1:20">
      <c r="A132" s="65">
        <v>118</v>
      </c>
      <c r="B132" s="79" t="s">
        <v>28</v>
      </c>
      <c r="C132" s="79" t="s">
        <v>93</v>
      </c>
      <c r="D132" s="82" t="s">
        <v>57</v>
      </c>
      <c r="E132" s="67" t="s">
        <v>31</v>
      </c>
      <c r="F132" s="57" t="s">
        <v>94</v>
      </c>
      <c r="G132" s="68" t="s">
        <v>95</v>
      </c>
      <c r="H132" s="68">
        <v>45733</v>
      </c>
      <c r="I132" s="65">
        <v>0</v>
      </c>
      <c r="J132" s="82">
        <v>543.49</v>
      </c>
      <c r="K132" s="70" t="s">
        <v>83</v>
      </c>
      <c r="L132" s="65">
        <f>J132</f>
        <v>543.49</v>
      </c>
      <c r="M132" s="82" t="s">
        <v>58</v>
      </c>
      <c r="N132" s="37">
        <f ca="1" t="shared" si="4"/>
        <v>17.3</v>
      </c>
      <c r="O132" s="71">
        <v>46419</v>
      </c>
      <c r="P132" s="65">
        <f t="shared" si="12"/>
        <v>543.49</v>
      </c>
      <c r="Q132" s="57" t="s">
        <v>84</v>
      </c>
      <c r="R132" s="82" t="s">
        <v>263</v>
      </c>
      <c r="S132" s="58" t="s">
        <v>55</v>
      </c>
      <c r="T132" s="58" t="s">
        <v>86</v>
      </c>
    </row>
    <row r="133" ht="43.2" spans="1:20">
      <c r="A133" s="65">
        <v>117</v>
      </c>
      <c r="B133" s="79" t="s">
        <v>28</v>
      </c>
      <c r="C133" s="79" t="s">
        <v>29</v>
      </c>
      <c r="D133" s="82" t="s">
        <v>76</v>
      </c>
      <c r="E133" s="67" t="s">
        <v>31</v>
      </c>
      <c r="F133" s="57" t="s">
        <v>81</v>
      </c>
      <c r="G133" s="68" t="s">
        <v>82</v>
      </c>
      <c r="H133" s="68">
        <v>45737</v>
      </c>
      <c r="I133" s="65">
        <v>0</v>
      </c>
      <c r="J133" s="82">
        <v>11198</v>
      </c>
      <c r="K133" s="70" t="s">
        <v>83</v>
      </c>
      <c r="L133" s="65">
        <f>J133</f>
        <v>11198</v>
      </c>
      <c r="M133" s="82" t="s">
        <v>42</v>
      </c>
      <c r="N133" s="37">
        <f ca="1" t="shared" si="4"/>
        <v>17.1666666666667</v>
      </c>
      <c r="O133" s="71">
        <v>46235</v>
      </c>
      <c r="P133" s="65">
        <f t="shared" si="12"/>
        <v>11198</v>
      </c>
      <c r="Q133" s="57" t="s">
        <v>84</v>
      </c>
      <c r="R133" s="82" t="s">
        <v>264</v>
      </c>
      <c r="S133" s="5" t="s">
        <v>55</v>
      </c>
      <c r="T133" s="5" t="s">
        <v>86</v>
      </c>
    </row>
    <row r="134" ht="129.6" spans="1:20">
      <c r="A134" s="65">
        <v>113</v>
      </c>
      <c r="B134" s="79" t="s">
        <v>28</v>
      </c>
      <c r="C134" s="79" t="s">
        <v>93</v>
      </c>
      <c r="D134" s="82" t="s">
        <v>76</v>
      </c>
      <c r="E134" s="67" t="s">
        <v>31</v>
      </c>
      <c r="F134" s="57" t="s">
        <v>265</v>
      </c>
      <c r="G134" s="68" t="s">
        <v>266</v>
      </c>
      <c r="H134" s="68">
        <v>45740</v>
      </c>
      <c r="I134" s="65">
        <v>0</v>
      </c>
      <c r="J134" s="82">
        <v>47500</v>
      </c>
      <c r="K134" s="70" t="s">
        <v>83</v>
      </c>
      <c r="L134" s="65">
        <f>J134</f>
        <v>47500</v>
      </c>
      <c r="M134" s="82" t="s">
        <v>47</v>
      </c>
      <c r="N134" s="37">
        <f ca="1" t="shared" si="4"/>
        <v>17.0666666666667</v>
      </c>
      <c r="O134" s="71">
        <v>46447</v>
      </c>
      <c r="P134" s="65">
        <f t="shared" si="12"/>
        <v>47500</v>
      </c>
      <c r="Q134" s="57" t="s">
        <v>84</v>
      </c>
      <c r="R134" s="82" t="s">
        <v>267</v>
      </c>
      <c r="S134" s="58" t="s">
        <v>55</v>
      </c>
      <c r="T134" s="5" t="s">
        <v>268</v>
      </c>
    </row>
    <row r="135" ht="43.2" spans="1:20">
      <c r="A135" s="30">
        <v>148</v>
      </c>
      <c r="B135" s="31" t="s">
        <v>28</v>
      </c>
      <c r="C135" s="31" t="s">
        <v>29</v>
      </c>
      <c r="D135" s="31" t="s">
        <v>269</v>
      </c>
      <c r="E135" s="33" t="s">
        <v>31</v>
      </c>
      <c r="F135" s="34" t="s">
        <v>236</v>
      </c>
      <c r="G135" s="35" t="s">
        <v>82</v>
      </c>
      <c r="H135" s="35">
        <v>45742</v>
      </c>
      <c r="I135" s="30">
        <v>0</v>
      </c>
      <c r="J135" s="30">
        <v>39680</v>
      </c>
      <c r="K135" s="32" t="s">
        <v>34</v>
      </c>
      <c r="L135" s="30">
        <v>0</v>
      </c>
      <c r="M135" s="30" t="s">
        <v>79</v>
      </c>
      <c r="N135" s="37">
        <f ca="1" t="shared" ref="N135:N149" si="13">(TODAY()-H135)/30</f>
        <v>17</v>
      </c>
      <c r="O135" s="32" t="s">
        <v>179</v>
      </c>
      <c r="P135" s="30">
        <f t="shared" si="12"/>
        <v>39680</v>
      </c>
      <c r="Q135" s="31" t="s">
        <v>180</v>
      </c>
      <c r="R135" s="30" t="s">
        <v>270</v>
      </c>
      <c r="S135" s="39" t="s">
        <v>38</v>
      </c>
      <c r="T135" s="77"/>
    </row>
    <row r="136" ht="43.2" spans="1:20">
      <c r="A136" s="65">
        <v>141</v>
      </c>
      <c r="B136" s="79" t="s">
        <v>28</v>
      </c>
      <c r="C136" s="79" t="s">
        <v>93</v>
      </c>
      <c r="D136" s="82" t="s">
        <v>57</v>
      </c>
      <c r="E136" s="67" t="s">
        <v>31</v>
      </c>
      <c r="F136" s="57" t="s">
        <v>94</v>
      </c>
      <c r="G136" s="68" t="s">
        <v>95</v>
      </c>
      <c r="H136" s="68">
        <v>45744</v>
      </c>
      <c r="I136" s="65">
        <v>0</v>
      </c>
      <c r="J136" s="82">
        <v>1107.88</v>
      </c>
      <c r="K136" s="70" t="s">
        <v>83</v>
      </c>
      <c r="L136" s="65">
        <f>J136</f>
        <v>1107.88</v>
      </c>
      <c r="M136" s="82" t="s">
        <v>97</v>
      </c>
      <c r="N136" s="37">
        <f ca="1" t="shared" si="13"/>
        <v>16.9333333333333</v>
      </c>
      <c r="O136" s="71">
        <v>46419</v>
      </c>
      <c r="P136" s="65">
        <f t="shared" si="12"/>
        <v>1107.88</v>
      </c>
      <c r="Q136" s="57" t="s">
        <v>84</v>
      </c>
      <c r="R136" s="82" t="s">
        <v>271</v>
      </c>
      <c r="S136" s="58" t="s">
        <v>55</v>
      </c>
      <c r="T136" s="58" t="s">
        <v>86</v>
      </c>
    </row>
    <row r="137" ht="43.2" spans="1:20">
      <c r="A137" s="65">
        <v>142</v>
      </c>
      <c r="B137" s="79" t="s">
        <v>28</v>
      </c>
      <c r="C137" s="79" t="s">
        <v>93</v>
      </c>
      <c r="D137" s="82" t="s">
        <v>57</v>
      </c>
      <c r="E137" s="67" t="s">
        <v>31</v>
      </c>
      <c r="F137" s="57" t="s">
        <v>94</v>
      </c>
      <c r="G137" s="68" t="s">
        <v>95</v>
      </c>
      <c r="H137" s="68">
        <v>45744</v>
      </c>
      <c r="I137" s="65">
        <v>0</v>
      </c>
      <c r="J137" s="82">
        <v>1107.88</v>
      </c>
      <c r="K137" s="70" t="s">
        <v>83</v>
      </c>
      <c r="L137" s="65">
        <f>J137</f>
        <v>1107.88</v>
      </c>
      <c r="M137" s="82" t="s">
        <v>47</v>
      </c>
      <c r="N137" s="37">
        <f ca="1" t="shared" si="13"/>
        <v>16.9333333333333</v>
      </c>
      <c r="O137" s="71">
        <v>46419</v>
      </c>
      <c r="P137" s="65">
        <f t="shared" si="12"/>
        <v>1107.88</v>
      </c>
      <c r="Q137" s="57" t="s">
        <v>84</v>
      </c>
      <c r="R137" s="82" t="s">
        <v>272</v>
      </c>
      <c r="S137" s="58" t="s">
        <v>55</v>
      </c>
      <c r="T137" s="58" t="s">
        <v>86</v>
      </c>
    </row>
    <row r="138" ht="43.2" spans="1:20">
      <c r="A138" s="65">
        <v>143</v>
      </c>
      <c r="B138" s="79" t="s">
        <v>28</v>
      </c>
      <c r="C138" s="79" t="s">
        <v>93</v>
      </c>
      <c r="D138" s="82" t="s">
        <v>57</v>
      </c>
      <c r="E138" s="67" t="s">
        <v>31</v>
      </c>
      <c r="F138" s="57" t="s">
        <v>94</v>
      </c>
      <c r="G138" s="68" t="s">
        <v>95</v>
      </c>
      <c r="H138" s="68">
        <v>45748</v>
      </c>
      <c r="I138" s="65">
        <v>0</v>
      </c>
      <c r="J138" s="82">
        <v>1107.88</v>
      </c>
      <c r="K138" s="70" t="s">
        <v>83</v>
      </c>
      <c r="L138" s="65">
        <f>J138</f>
        <v>1107.88</v>
      </c>
      <c r="M138" s="82" t="s">
        <v>47</v>
      </c>
      <c r="N138" s="37">
        <f ca="1" t="shared" si="13"/>
        <v>16.8</v>
      </c>
      <c r="O138" s="71">
        <v>46419</v>
      </c>
      <c r="P138" s="65">
        <f t="shared" si="12"/>
        <v>1107.88</v>
      </c>
      <c r="Q138" s="57" t="s">
        <v>84</v>
      </c>
      <c r="R138" s="82" t="s">
        <v>273</v>
      </c>
      <c r="S138" s="58" t="s">
        <v>55</v>
      </c>
      <c r="T138" s="58" t="s">
        <v>86</v>
      </c>
    </row>
    <row r="139" ht="86.4" spans="1:20">
      <c r="A139" s="30">
        <v>479</v>
      </c>
      <c r="B139" s="31" t="s">
        <v>28</v>
      </c>
      <c r="C139" s="31" t="s">
        <v>130</v>
      </c>
      <c r="D139" s="30" t="s">
        <v>142</v>
      </c>
      <c r="E139" s="167" t="s">
        <v>41</v>
      </c>
      <c r="F139" s="167" t="s">
        <v>41</v>
      </c>
      <c r="G139" s="168" t="s">
        <v>41</v>
      </c>
      <c r="H139" s="89">
        <v>45748</v>
      </c>
      <c r="I139" s="30">
        <v>0</v>
      </c>
      <c r="J139" s="30">
        <v>8756</v>
      </c>
      <c r="K139" s="32" t="s">
        <v>34</v>
      </c>
      <c r="L139" s="30">
        <v>0</v>
      </c>
      <c r="M139" s="30" t="s">
        <v>97</v>
      </c>
      <c r="N139" s="37">
        <f ca="1" t="shared" si="13"/>
        <v>16.8</v>
      </c>
      <c r="O139" s="61">
        <v>46388</v>
      </c>
      <c r="P139" s="30">
        <v>8756</v>
      </c>
      <c r="Q139" s="34" t="s">
        <v>53</v>
      </c>
      <c r="R139" s="30" t="s">
        <v>274</v>
      </c>
      <c r="S139" s="39" t="s">
        <v>38</v>
      </c>
      <c r="T139" s="77"/>
    </row>
    <row r="140" ht="43.2" spans="1:20">
      <c r="A140" s="65">
        <v>132</v>
      </c>
      <c r="B140" s="79" t="s">
        <v>28</v>
      </c>
      <c r="C140" s="79" t="s">
        <v>29</v>
      </c>
      <c r="D140" s="82" t="s">
        <v>76</v>
      </c>
      <c r="E140" s="67" t="s">
        <v>31</v>
      </c>
      <c r="F140" s="67" t="s">
        <v>236</v>
      </c>
      <c r="G140" s="80" t="s">
        <v>82</v>
      </c>
      <c r="H140" s="68">
        <v>45748</v>
      </c>
      <c r="I140" s="65">
        <v>0</v>
      </c>
      <c r="J140" s="82">
        <v>9405</v>
      </c>
      <c r="K140" s="70" t="s">
        <v>83</v>
      </c>
      <c r="L140" s="65">
        <f>J140</f>
        <v>9405</v>
      </c>
      <c r="M140" s="82" t="s">
        <v>35</v>
      </c>
      <c r="N140" s="37">
        <f ca="1" t="shared" si="13"/>
        <v>16.8</v>
      </c>
      <c r="O140" s="71">
        <v>46174</v>
      </c>
      <c r="P140" s="65">
        <f t="shared" ref="P140:P150" si="14">J140</f>
        <v>9405</v>
      </c>
      <c r="Q140" s="57" t="s">
        <v>84</v>
      </c>
      <c r="R140" s="82" t="s">
        <v>275</v>
      </c>
      <c r="S140" s="58" t="s">
        <v>55</v>
      </c>
      <c r="T140" s="58" t="s">
        <v>228</v>
      </c>
    </row>
    <row r="141" ht="43.2" spans="1:20">
      <c r="A141" s="65">
        <v>133</v>
      </c>
      <c r="B141" s="66" t="s">
        <v>28</v>
      </c>
      <c r="C141" s="66" t="s">
        <v>29</v>
      </c>
      <c r="D141" s="65" t="s">
        <v>76</v>
      </c>
      <c r="E141" s="67" t="s">
        <v>31</v>
      </c>
      <c r="F141" s="57" t="s">
        <v>81</v>
      </c>
      <c r="G141" s="68" t="s">
        <v>82</v>
      </c>
      <c r="H141" s="68">
        <v>45748</v>
      </c>
      <c r="I141" s="65">
        <v>0</v>
      </c>
      <c r="J141" s="65">
        <v>1023</v>
      </c>
      <c r="K141" s="70" t="s">
        <v>83</v>
      </c>
      <c r="L141" s="65">
        <f>J141</f>
        <v>1023</v>
      </c>
      <c r="M141" s="65" t="s">
        <v>35</v>
      </c>
      <c r="N141" s="37">
        <f ca="1" t="shared" si="13"/>
        <v>16.8</v>
      </c>
      <c r="O141" s="71">
        <v>46419</v>
      </c>
      <c r="P141" s="65">
        <f t="shared" si="14"/>
        <v>1023</v>
      </c>
      <c r="Q141" s="57" t="s">
        <v>84</v>
      </c>
      <c r="R141" s="65" t="s">
        <v>276</v>
      </c>
      <c r="S141" s="72" t="s">
        <v>55</v>
      </c>
      <c r="T141" s="78" t="s">
        <v>86</v>
      </c>
    </row>
    <row r="142" ht="43.2" spans="1:20">
      <c r="A142" s="65">
        <v>139</v>
      </c>
      <c r="B142" s="79" t="s">
        <v>28</v>
      </c>
      <c r="C142" s="79" t="s">
        <v>29</v>
      </c>
      <c r="D142" s="82" t="s">
        <v>76</v>
      </c>
      <c r="E142" s="67" t="s">
        <v>31</v>
      </c>
      <c r="F142" s="57" t="s">
        <v>81</v>
      </c>
      <c r="G142" s="68" t="s">
        <v>82</v>
      </c>
      <c r="H142" s="68">
        <v>45748</v>
      </c>
      <c r="I142" s="65">
        <v>0</v>
      </c>
      <c r="J142" s="82">
        <v>10329</v>
      </c>
      <c r="K142" s="70" t="s">
        <v>83</v>
      </c>
      <c r="L142" s="65">
        <f>J142</f>
        <v>10329</v>
      </c>
      <c r="M142" s="82" t="s">
        <v>47</v>
      </c>
      <c r="N142" s="37">
        <f ca="1" t="shared" si="13"/>
        <v>16.8</v>
      </c>
      <c r="O142" s="71">
        <v>46266</v>
      </c>
      <c r="P142" s="65">
        <f t="shared" si="14"/>
        <v>10329</v>
      </c>
      <c r="Q142" s="57" t="s">
        <v>84</v>
      </c>
      <c r="R142" s="82" t="s">
        <v>277</v>
      </c>
      <c r="S142" s="58" t="s">
        <v>55</v>
      </c>
      <c r="T142" s="58" t="s">
        <v>228</v>
      </c>
    </row>
    <row r="143" ht="43.2" spans="1:20">
      <c r="A143" s="65">
        <v>140</v>
      </c>
      <c r="B143" s="79" t="s">
        <v>28</v>
      </c>
      <c r="C143" s="79" t="s">
        <v>29</v>
      </c>
      <c r="D143" s="82" t="s">
        <v>76</v>
      </c>
      <c r="E143" s="67" t="s">
        <v>31</v>
      </c>
      <c r="F143" s="57" t="s">
        <v>81</v>
      </c>
      <c r="G143" s="68" t="s">
        <v>82</v>
      </c>
      <c r="H143" s="68">
        <v>45748</v>
      </c>
      <c r="I143" s="65">
        <v>0</v>
      </c>
      <c r="J143" s="82">
        <v>14800.5</v>
      </c>
      <c r="K143" s="70" t="s">
        <v>83</v>
      </c>
      <c r="L143" s="65">
        <f>J143</f>
        <v>14800.5</v>
      </c>
      <c r="M143" s="82" t="s">
        <v>58</v>
      </c>
      <c r="N143" s="37">
        <f ca="1" t="shared" si="13"/>
        <v>16.8</v>
      </c>
      <c r="O143" s="71">
        <v>46174</v>
      </c>
      <c r="P143" s="65">
        <f t="shared" si="14"/>
        <v>14800.5</v>
      </c>
      <c r="Q143" s="57" t="s">
        <v>84</v>
      </c>
      <c r="R143" s="82" t="s">
        <v>278</v>
      </c>
      <c r="S143" s="58" t="s">
        <v>55</v>
      </c>
      <c r="T143" s="58" t="s">
        <v>228</v>
      </c>
    </row>
    <row r="144" ht="43.2" spans="1:20">
      <c r="A144" s="65">
        <v>147</v>
      </c>
      <c r="B144" s="79" t="s">
        <v>28</v>
      </c>
      <c r="C144" s="79" t="s">
        <v>29</v>
      </c>
      <c r="D144" s="82" t="s">
        <v>76</v>
      </c>
      <c r="E144" s="67" t="s">
        <v>31</v>
      </c>
      <c r="F144" s="57" t="s">
        <v>81</v>
      </c>
      <c r="G144" s="68" t="s">
        <v>82</v>
      </c>
      <c r="H144" s="68">
        <v>45748</v>
      </c>
      <c r="I144" s="65">
        <v>0</v>
      </c>
      <c r="J144" s="82">
        <v>4111.8</v>
      </c>
      <c r="K144" s="70" t="s">
        <v>83</v>
      </c>
      <c r="L144" s="65">
        <f>J144</f>
        <v>4111.8</v>
      </c>
      <c r="M144" s="82" t="s">
        <v>42</v>
      </c>
      <c r="N144" s="37">
        <f ca="1" t="shared" si="13"/>
        <v>16.8</v>
      </c>
      <c r="O144" s="71">
        <v>46235</v>
      </c>
      <c r="P144" s="65">
        <f t="shared" si="14"/>
        <v>4111.8</v>
      </c>
      <c r="Q144" s="57" t="s">
        <v>84</v>
      </c>
      <c r="R144" s="82" t="s">
        <v>279</v>
      </c>
      <c r="S144" s="58" t="s">
        <v>55</v>
      </c>
      <c r="T144" s="5" t="s">
        <v>86</v>
      </c>
    </row>
    <row r="145" ht="57.6" spans="1:20">
      <c r="A145" s="41">
        <v>131</v>
      </c>
      <c r="B145" s="42" t="s">
        <v>28</v>
      </c>
      <c r="C145" s="42" t="s">
        <v>280</v>
      </c>
      <c r="D145" s="41" t="s">
        <v>76</v>
      </c>
      <c r="E145" s="165" t="s">
        <v>41</v>
      </c>
      <c r="F145" s="165" t="s">
        <v>41</v>
      </c>
      <c r="G145" s="166" t="s">
        <v>41</v>
      </c>
      <c r="H145" s="74">
        <v>45754</v>
      </c>
      <c r="I145" s="41">
        <v>0</v>
      </c>
      <c r="J145" s="41">
        <v>6336</v>
      </c>
      <c r="K145" s="43" t="s">
        <v>34</v>
      </c>
      <c r="L145" s="41">
        <v>0</v>
      </c>
      <c r="M145" s="41" t="s">
        <v>35</v>
      </c>
      <c r="N145" s="37">
        <f ca="1" t="shared" si="13"/>
        <v>16.6</v>
      </c>
      <c r="O145" s="47">
        <v>46357</v>
      </c>
      <c r="P145" s="41">
        <f t="shared" si="14"/>
        <v>6336</v>
      </c>
      <c r="Q145" s="42" t="s">
        <v>185</v>
      </c>
      <c r="R145" s="41" t="s">
        <v>281</v>
      </c>
      <c r="S145" s="48" t="s">
        <v>45</v>
      </c>
      <c r="T145" s="50"/>
    </row>
    <row r="146" ht="43.2" spans="1:20">
      <c r="A146" s="65">
        <v>129</v>
      </c>
      <c r="B146" s="79" t="s">
        <v>28</v>
      </c>
      <c r="C146" s="79" t="s">
        <v>49</v>
      </c>
      <c r="D146" s="82" t="s">
        <v>168</v>
      </c>
      <c r="E146" s="105" t="s">
        <v>31</v>
      </c>
      <c r="F146" s="98" t="s">
        <v>282</v>
      </c>
      <c r="G146" s="83" t="s">
        <v>200</v>
      </c>
      <c r="H146" s="68">
        <v>45755</v>
      </c>
      <c r="I146" s="65">
        <v>0</v>
      </c>
      <c r="J146" s="82">
        <v>4214.5</v>
      </c>
      <c r="K146" s="70" t="s">
        <v>34</v>
      </c>
      <c r="L146" s="65">
        <v>0</v>
      </c>
      <c r="M146" s="82" t="s">
        <v>58</v>
      </c>
      <c r="N146" s="37">
        <f ca="1" t="shared" si="13"/>
        <v>16.5666666666667</v>
      </c>
      <c r="O146" s="71">
        <v>46266</v>
      </c>
      <c r="P146" s="65">
        <f t="shared" si="14"/>
        <v>4214.5</v>
      </c>
      <c r="Q146" s="66" t="s">
        <v>201</v>
      </c>
      <c r="R146" s="82" t="s">
        <v>283</v>
      </c>
      <c r="S146" s="58" t="s">
        <v>55</v>
      </c>
      <c r="T146" s="5"/>
    </row>
    <row r="147" ht="43.2" spans="1:20">
      <c r="A147" s="65">
        <v>130</v>
      </c>
      <c r="B147" s="79" t="s">
        <v>28</v>
      </c>
      <c r="C147" s="79" t="s">
        <v>49</v>
      </c>
      <c r="D147" s="82" t="s">
        <v>168</v>
      </c>
      <c r="E147" s="105" t="s">
        <v>31</v>
      </c>
      <c r="F147" s="98" t="s">
        <v>282</v>
      </c>
      <c r="G147" s="83" t="s">
        <v>200</v>
      </c>
      <c r="H147" s="68">
        <v>45755</v>
      </c>
      <c r="I147" s="65">
        <v>0</v>
      </c>
      <c r="J147" s="82">
        <v>4214.5</v>
      </c>
      <c r="K147" s="70" t="s">
        <v>34</v>
      </c>
      <c r="L147" s="65">
        <v>0</v>
      </c>
      <c r="M147" s="82" t="s">
        <v>58</v>
      </c>
      <c r="N147" s="37">
        <f ca="1" t="shared" si="13"/>
        <v>16.5666666666667</v>
      </c>
      <c r="O147" s="71">
        <v>46266</v>
      </c>
      <c r="P147" s="65">
        <f t="shared" si="14"/>
        <v>4214.5</v>
      </c>
      <c r="Q147" s="66" t="s">
        <v>201</v>
      </c>
      <c r="R147" s="82" t="s">
        <v>284</v>
      </c>
      <c r="S147" s="58" t="s">
        <v>55</v>
      </c>
      <c r="T147" s="5"/>
    </row>
    <row r="148" ht="43.2" spans="1:20">
      <c r="A148" s="65">
        <v>135</v>
      </c>
      <c r="B148" s="79" t="s">
        <v>28</v>
      </c>
      <c r="C148" s="79" t="s">
        <v>93</v>
      </c>
      <c r="D148" s="82" t="s">
        <v>57</v>
      </c>
      <c r="E148" s="67" t="s">
        <v>31</v>
      </c>
      <c r="F148" s="57" t="s">
        <v>94</v>
      </c>
      <c r="G148" s="68" t="s">
        <v>95</v>
      </c>
      <c r="H148" s="68">
        <v>45755</v>
      </c>
      <c r="I148" s="65">
        <v>0</v>
      </c>
      <c r="J148" s="82">
        <v>1107.88</v>
      </c>
      <c r="K148" s="70" t="s">
        <v>83</v>
      </c>
      <c r="L148" s="65">
        <f>J148</f>
        <v>1107.88</v>
      </c>
      <c r="M148" s="82" t="s">
        <v>42</v>
      </c>
      <c r="N148" s="37">
        <f ca="1" t="shared" si="13"/>
        <v>16.5666666666667</v>
      </c>
      <c r="O148" s="71">
        <v>46419</v>
      </c>
      <c r="P148" s="65">
        <f t="shared" si="14"/>
        <v>1107.88</v>
      </c>
      <c r="Q148" s="57" t="s">
        <v>84</v>
      </c>
      <c r="R148" s="82" t="s">
        <v>285</v>
      </c>
      <c r="S148" s="58" t="s">
        <v>55</v>
      </c>
      <c r="T148" s="58" t="s">
        <v>86</v>
      </c>
    </row>
    <row r="149" ht="43.2" spans="1:20">
      <c r="A149" s="65">
        <v>144</v>
      </c>
      <c r="B149" s="79" t="s">
        <v>28</v>
      </c>
      <c r="C149" s="79" t="s">
        <v>93</v>
      </c>
      <c r="D149" s="82" t="s">
        <v>57</v>
      </c>
      <c r="E149" s="67" t="s">
        <v>31</v>
      </c>
      <c r="F149" s="57" t="s">
        <v>94</v>
      </c>
      <c r="G149" s="68" t="s">
        <v>95</v>
      </c>
      <c r="H149" s="68">
        <v>45755</v>
      </c>
      <c r="I149" s="65">
        <v>0</v>
      </c>
      <c r="J149" s="82">
        <v>2348.71</v>
      </c>
      <c r="K149" s="70" t="s">
        <v>83</v>
      </c>
      <c r="L149" s="65">
        <f>J149</f>
        <v>2348.71</v>
      </c>
      <c r="M149" s="82" t="s">
        <v>35</v>
      </c>
      <c r="N149" s="37">
        <f ca="1" t="shared" si="13"/>
        <v>16.5666666666667</v>
      </c>
      <c r="O149" s="71">
        <v>46419</v>
      </c>
      <c r="P149" s="65">
        <f t="shared" si="14"/>
        <v>2348.71</v>
      </c>
      <c r="Q149" s="57" t="s">
        <v>84</v>
      </c>
      <c r="R149" s="82" t="s">
        <v>286</v>
      </c>
      <c r="S149" s="58" t="s">
        <v>55</v>
      </c>
      <c r="T149" s="58" t="s">
        <v>86</v>
      </c>
    </row>
    <row r="150" ht="43.2" spans="1:20">
      <c r="A150" s="65">
        <v>149</v>
      </c>
      <c r="B150" s="79" t="s">
        <v>28</v>
      </c>
      <c r="C150" s="79" t="s">
        <v>93</v>
      </c>
      <c r="D150" s="82" t="s">
        <v>57</v>
      </c>
      <c r="E150" s="67" t="s">
        <v>31</v>
      </c>
      <c r="F150" s="57" t="s">
        <v>94</v>
      </c>
      <c r="G150" s="68" t="s">
        <v>95</v>
      </c>
      <c r="H150" s="68">
        <v>45756</v>
      </c>
      <c r="I150" s="65">
        <v>0</v>
      </c>
      <c r="J150" s="82">
        <v>1107.88</v>
      </c>
      <c r="K150" s="70" t="s">
        <v>83</v>
      </c>
      <c r="L150" s="65">
        <f>J150</f>
        <v>1107.88</v>
      </c>
      <c r="M150" s="82" t="s">
        <v>79</v>
      </c>
      <c r="N150" s="37">
        <f ca="1" t="shared" ref="N150:N197" si="15">(TODAY()-H150)/30</f>
        <v>16.5333333333333</v>
      </c>
      <c r="O150" s="71">
        <v>46419</v>
      </c>
      <c r="P150" s="65">
        <f t="shared" si="14"/>
        <v>1107.88</v>
      </c>
      <c r="Q150" s="57" t="s">
        <v>84</v>
      </c>
      <c r="R150" s="82" t="s">
        <v>287</v>
      </c>
      <c r="S150" s="58" t="s">
        <v>55</v>
      </c>
      <c r="T150" s="58" t="s">
        <v>86</v>
      </c>
    </row>
    <row r="151" ht="43.2" spans="1:20">
      <c r="A151" s="65">
        <v>480</v>
      </c>
      <c r="B151" s="79" t="s">
        <v>28</v>
      </c>
      <c r="C151" s="79" t="s">
        <v>177</v>
      </c>
      <c r="D151" s="82" t="s">
        <v>142</v>
      </c>
      <c r="E151" s="171" t="s">
        <v>41</v>
      </c>
      <c r="F151" s="171" t="s">
        <v>41</v>
      </c>
      <c r="G151" s="172" t="s">
        <v>41</v>
      </c>
      <c r="H151" s="76">
        <v>45758</v>
      </c>
      <c r="I151" s="65">
        <v>0</v>
      </c>
      <c r="J151" s="82">
        <v>11748</v>
      </c>
      <c r="K151" s="70" t="s">
        <v>34</v>
      </c>
      <c r="L151" s="65">
        <v>0</v>
      </c>
      <c r="M151" s="84" t="s">
        <v>47</v>
      </c>
      <c r="N151" s="37">
        <f ca="1" t="shared" si="15"/>
        <v>16.4666666666667</v>
      </c>
      <c r="O151" s="71">
        <v>46388</v>
      </c>
      <c r="P151" s="65">
        <v>11748</v>
      </c>
      <c r="Q151" s="57" t="s">
        <v>53</v>
      </c>
      <c r="R151" s="82" t="s">
        <v>288</v>
      </c>
      <c r="S151" s="58"/>
      <c r="T151" s="5"/>
    </row>
    <row r="152" ht="43.2" spans="1:20">
      <c r="A152" s="65">
        <v>556</v>
      </c>
      <c r="B152" s="66" t="s">
        <v>28</v>
      </c>
      <c r="C152" s="79" t="s">
        <v>49</v>
      </c>
      <c r="D152" s="79" t="s">
        <v>142</v>
      </c>
      <c r="E152" s="67" t="s">
        <v>31</v>
      </c>
      <c r="F152" s="67" t="s">
        <v>289</v>
      </c>
      <c r="G152" s="80" t="s">
        <v>290</v>
      </c>
      <c r="H152" s="76">
        <v>45761</v>
      </c>
      <c r="I152" s="65"/>
      <c r="J152" s="82">
        <v>42370</v>
      </c>
      <c r="K152" s="70"/>
      <c r="L152" s="65"/>
      <c r="M152" s="82" t="s">
        <v>35</v>
      </c>
      <c r="N152" s="37">
        <f ca="1" t="shared" si="15"/>
        <v>16.3666666666667</v>
      </c>
      <c r="O152" s="70"/>
      <c r="P152" s="65">
        <v>42370</v>
      </c>
      <c r="Q152" s="66"/>
      <c r="R152" s="82" t="s">
        <v>291</v>
      </c>
      <c r="S152" s="5"/>
    </row>
    <row r="153" ht="43.2" spans="1:20">
      <c r="A153" s="65">
        <v>137</v>
      </c>
      <c r="B153" s="79" t="s">
        <v>28</v>
      </c>
      <c r="C153" s="79" t="s">
        <v>93</v>
      </c>
      <c r="D153" s="82" t="s">
        <v>57</v>
      </c>
      <c r="E153" s="67" t="s">
        <v>31</v>
      </c>
      <c r="F153" s="57" t="s">
        <v>94</v>
      </c>
      <c r="G153" s="68" t="s">
        <v>95</v>
      </c>
      <c r="H153" s="68">
        <v>45761</v>
      </c>
      <c r="I153" s="65">
        <v>0</v>
      </c>
      <c r="J153" s="82">
        <v>1107.88</v>
      </c>
      <c r="K153" s="70" t="s">
        <v>83</v>
      </c>
      <c r="L153" s="65">
        <f>J153</f>
        <v>1107.88</v>
      </c>
      <c r="M153" s="82" t="s">
        <v>42</v>
      </c>
      <c r="N153" s="37">
        <f ca="1" t="shared" si="15"/>
        <v>16.3666666666667</v>
      </c>
      <c r="O153" s="71">
        <v>46419</v>
      </c>
      <c r="P153" s="65">
        <f>J153</f>
        <v>1107.88</v>
      </c>
      <c r="Q153" s="57" t="s">
        <v>84</v>
      </c>
      <c r="R153" s="82" t="s">
        <v>292</v>
      </c>
      <c r="S153" s="58" t="s">
        <v>55</v>
      </c>
      <c r="T153" s="58" t="s">
        <v>86</v>
      </c>
    </row>
    <row r="154" ht="43.2" spans="1:20">
      <c r="A154" s="65">
        <v>145</v>
      </c>
      <c r="B154" s="79" t="s">
        <v>28</v>
      </c>
      <c r="C154" s="79" t="s">
        <v>93</v>
      </c>
      <c r="D154" s="82" t="s">
        <v>57</v>
      </c>
      <c r="E154" s="67" t="s">
        <v>31</v>
      </c>
      <c r="F154" s="57" t="s">
        <v>94</v>
      </c>
      <c r="G154" s="68" t="s">
        <v>95</v>
      </c>
      <c r="H154" s="68">
        <v>45764</v>
      </c>
      <c r="I154" s="65">
        <v>0</v>
      </c>
      <c r="J154" s="82">
        <v>1107.88</v>
      </c>
      <c r="K154" s="70" t="s">
        <v>83</v>
      </c>
      <c r="L154" s="65">
        <f>J154</f>
        <v>1107.88</v>
      </c>
      <c r="M154" s="82" t="s">
        <v>79</v>
      </c>
      <c r="N154" s="37">
        <f ca="1" t="shared" si="15"/>
        <v>16.2666666666667</v>
      </c>
      <c r="O154" s="71">
        <v>46419</v>
      </c>
      <c r="P154" s="65">
        <f>J154</f>
        <v>1107.88</v>
      </c>
      <c r="Q154" s="57" t="s">
        <v>84</v>
      </c>
      <c r="R154" s="82" t="s">
        <v>293</v>
      </c>
      <c r="S154" s="58" t="s">
        <v>55</v>
      </c>
      <c r="T154" s="58" t="s">
        <v>86</v>
      </c>
    </row>
    <row r="155" ht="43.2" spans="1:20">
      <c r="A155" s="65">
        <v>561</v>
      </c>
      <c r="B155" s="66" t="s">
        <v>28</v>
      </c>
      <c r="C155" s="79" t="s">
        <v>29</v>
      </c>
      <c r="D155" s="79" t="s">
        <v>142</v>
      </c>
      <c r="E155" s="67"/>
      <c r="F155" s="67"/>
      <c r="G155" s="80"/>
      <c r="H155" s="76">
        <v>45764</v>
      </c>
      <c r="I155" s="65"/>
      <c r="J155" s="82">
        <v>17410</v>
      </c>
      <c r="K155" s="70"/>
      <c r="L155" s="65"/>
      <c r="M155" s="82" t="s">
        <v>97</v>
      </c>
      <c r="N155" s="37">
        <f ca="1" t="shared" si="15"/>
        <v>16.2666666666667</v>
      </c>
      <c r="O155" s="70"/>
      <c r="P155" s="65">
        <v>17410</v>
      </c>
      <c r="Q155" s="66" t="s">
        <v>193</v>
      </c>
      <c r="R155" s="82" t="s">
        <v>294</v>
      </c>
      <c r="S155" s="5"/>
    </row>
    <row r="156" ht="43.2" spans="1:20">
      <c r="A156" s="65">
        <v>146</v>
      </c>
      <c r="B156" s="79" t="s">
        <v>28</v>
      </c>
      <c r="C156" s="79" t="s">
        <v>93</v>
      </c>
      <c r="D156" s="82" t="s">
        <v>57</v>
      </c>
      <c r="E156" s="67" t="s">
        <v>31</v>
      </c>
      <c r="F156" s="57" t="s">
        <v>94</v>
      </c>
      <c r="G156" s="68" t="s">
        <v>95</v>
      </c>
      <c r="H156" s="68">
        <v>45768</v>
      </c>
      <c r="I156" s="65">
        <v>0</v>
      </c>
      <c r="J156" s="82">
        <v>1107.88</v>
      </c>
      <c r="K156" s="70" t="s">
        <v>83</v>
      </c>
      <c r="L156" s="65">
        <f>J156</f>
        <v>1107.88</v>
      </c>
      <c r="M156" s="82" t="s">
        <v>42</v>
      </c>
      <c r="N156" s="37">
        <f ca="1" t="shared" si="15"/>
        <v>16.1333333333333</v>
      </c>
      <c r="O156" s="71">
        <v>46419</v>
      </c>
      <c r="P156" s="65">
        <f>J156</f>
        <v>1107.88</v>
      </c>
      <c r="Q156" s="57" t="s">
        <v>84</v>
      </c>
      <c r="R156" s="82" t="s">
        <v>295</v>
      </c>
      <c r="S156" s="58" t="s">
        <v>55</v>
      </c>
      <c r="T156" s="58" t="s">
        <v>86</v>
      </c>
    </row>
    <row r="157" ht="43.2" spans="1:20">
      <c r="A157" s="30">
        <v>138</v>
      </c>
      <c r="B157" s="31" t="s">
        <v>28</v>
      </c>
      <c r="C157" s="31" t="s">
        <v>49</v>
      </c>
      <c r="D157" s="30" t="s">
        <v>76</v>
      </c>
      <c r="E157" s="167" t="s">
        <v>31</v>
      </c>
      <c r="F157" s="34" t="s">
        <v>296</v>
      </c>
      <c r="G157" s="106" t="s">
        <v>297</v>
      </c>
      <c r="H157" s="35">
        <v>45769</v>
      </c>
      <c r="I157" s="30">
        <v>0</v>
      </c>
      <c r="J157" s="30">
        <v>4237</v>
      </c>
      <c r="K157" s="32" t="s">
        <v>34</v>
      </c>
      <c r="L157" s="30">
        <v>0</v>
      </c>
      <c r="M157" s="30" t="s">
        <v>35</v>
      </c>
      <c r="N157" s="37">
        <f ca="1" t="shared" si="15"/>
        <v>16.1</v>
      </c>
      <c r="O157" s="61">
        <v>46266</v>
      </c>
      <c r="P157" s="30">
        <f>J157</f>
        <v>4237</v>
      </c>
      <c r="Q157" s="31" t="s">
        <v>298</v>
      </c>
      <c r="R157" s="30" t="s">
        <v>299</v>
      </c>
      <c r="S157" s="39" t="s">
        <v>38</v>
      </c>
      <c r="T157" s="77"/>
    </row>
    <row r="158" ht="43.2" spans="1:20">
      <c r="A158" s="65">
        <v>553</v>
      </c>
      <c r="B158" s="66" t="s">
        <v>28</v>
      </c>
      <c r="C158" s="79" t="s">
        <v>29</v>
      </c>
      <c r="D158" s="79" t="s">
        <v>142</v>
      </c>
      <c r="E158" s="67"/>
      <c r="F158" s="67"/>
      <c r="G158" s="80"/>
      <c r="H158" s="76">
        <v>45770</v>
      </c>
      <c r="I158" s="65"/>
      <c r="J158" s="82">
        <v>183348</v>
      </c>
      <c r="K158" s="70"/>
      <c r="L158" s="65"/>
      <c r="M158" s="82" t="s">
        <v>35</v>
      </c>
      <c r="N158" s="37">
        <f ca="1" t="shared" si="15"/>
        <v>16.0666666666667</v>
      </c>
      <c r="O158" s="70"/>
      <c r="P158" s="65">
        <v>183348</v>
      </c>
      <c r="Q158" s="66" t="s">
        <v>193</v>
      </c>
      <c r="R158" s="82" t="s">
        <v>300</v>
      </c>
      <c r="S158" s="5"/>
    </row>
    <row r="159" ht="43.2" spans="1:20">
      <c r="A159" s="65">
        <v>554</v>
      </c>
      <c r="B159" s="79" t="s">
        <v>28</v>
      </c>
      <c r="C159" s="79" t="s">
        <v>29</v>
      </c>
      <c r="D159" s="79" t="s">
        <v>142</v>
      </c>
      <c r="E159" s="67"/>
      <c r="F159" s="67"/>
      <c r="G159" s="80"/>
      <c r="H159" s="76">
        <v>45770</v>
      </c>
      <c r="I159" s="65"/>
      <c r="J159" s="82">
        <v>270160</v>
      </c>
      <c r="K159" s="70"/>
      <c r="L159" s="65"/>
      <c r="M159" s="82" t="s">
        <v>79</v>
      </c>
      <c r="N159" s="37">
        <f ca="1" t="shared" si="15"/>
        <v>16.0666666666667</v>
      </c>
      <c r="O159" s="70"/>
      <c r="P159" s="65">
        <v>270160</v>
      </c>
      <c r="Q159" s="66" t="s">
        <v>193</v>
      </c>
      <c r="R159" s="82" t="s">
        <v>301</v>
      </c>
      <c r="S159" s="5"/>
    </row>
    <row r="160" ht="43.2" spans="1:20">
      <c r="A160" s="65">
        <v>555</v>
      </c>
      <c r="B160" s="79" t="s">
        <v>28</v>
      </c>
      <c r="C160" s="79" t="s">
        <v>49</v>
      </c>
      <c r="D160" s="79" t="s">
        <v>142</v>
      </c>
      <c r="E160" s="67" t="s">
        <v>31</v>
      </c>
      <c r="F160" s="67" t="s">
        <v>289</v>
      </c>
      <c r="G160" s="80" t="s">
        <v>290</v>
      </c>
      <c r="H160" s="76">
        <v>45772</v>
      </c>
      <c r="I160" s="65"/>
      <c r="J160" s="82">
        <v>16270.08</v>
      </c>
      <c r="K160" s="70"/>
      <c r="L160" s="65"/>
      <c r="M160" s="82" t="s">
        <v>97</v>
      </c>
      <c r="N160" s="37">
        <f ca="1" t="shared" si="15"/>
        <v>16</v>
      </c>
      <c r="O160" s="70"/>
      <c r="P160" s="65">
        <v>16270.08</v>
      </c>
      <c r="Q160" s="66" t="s">
        <v>205</v>
      </c>
      <c r="R160" s="82" t="s">
        <v>302</v>
      </c>
      <c r="S160" s="5"/>
    </row>
    <row r="161" ht="43.2" spans="1:20">
      <c r="A161" s="65">
        <v>126</v>
      </c>
      <c r="B161" s="79" t="s">
        <v>28</v>
      </c>
      <c r="C161" s="79" t="s">
        <v>93</v>
      </c>
      <c r="D161" s="82" t="s">
        <v>57</v>
      </c>
      <c r="E161" s="67" t="s">
        <v>31</v>
      </c>
      <c r="F161" s="57" t="s">
        <v>94</v>
      </c>
      <c r="G161" s="68" t="s">
        <v>95</v>
      </c>
      <c r="H161" s="68">
        <v>45772</v>
      </c>
      <c r="I161" s="65">
        <v>0</v>
      </c>
      <c r="J161" s="82">
        <v>1107.88</v>
      </c>
      <c r="K161" s="70" t="s">
        <v>83</v>
      </c>
      <c r="L161" s="65">
        <f>J161</f>
        <v>1107.88</v>
      </c>
      <c r="M161" s="82" t="s">
        <v>42</v>
      </c>
      <c r="N161" s="37">
        <f ca="1" t="shared" si="15"/>
        <v>16</v>
      </c>
      <c r="O161" s="71">
        <v>46419</v>
      </c>
      <c r="P161" s="65">
        <f>J161</f>
        <v>1107.88</v>
      </c>
      <c r="Q161" s="57" t="s">
        <v>84</v>
      </c>
      <c r="R161" s="82" t="s">
        <v>303</v>
      </c>
      <c r="S161" s="58" t="s">
        <v>55</v>
      </c>
      <c r="T161" s="58" t="s">
        <v>86</v>
      </c>
    </row>
    <row r="162" ht="43.2" spans="1:20">
      <c r="A162" s="65">
        <v>128</v>
      </c>
      <c r="B162" s="79" t="s">
        <v>28</v>
      </c>
      <c r="C162" s="79" t="s">
        <v>29</v>
      </c>
      <c r="D162" s="82" t="s">
        <v>76</v>
      </c>
      <c r="E162" s="67" t="s">
        <v>31</v>
      </c>
      <c r="F162" s="57" t="s">
        <v>304</v>
      </c>
      <c r="G162" s="68" t="s">
        <v>305</v>
      </c>
      <c r="H162" s="68">
        <v>45772</v>
      </c>
      <c r="I162" s="65">
        <v>0</v>
      </c>
      <c r="J162" s="82">
        <v>4147</v>
      </c>
      <c r="K162" s="70" t="s">
        <v>83</v>
      </c>
      <c r="L162" s="65">
        <f>J162</f>
        <v>4147</v>
      </c>
      <c r="M162" s="82" t="s">
        <v>35</v>
      </c>
      <c r="N162" s="37">
        <f ca="1" t="shared" si="15"/>
        <v>16</v>
      </c>
      <c r="O162" s="71">
        <v>46388</v>
      </c>
      <c r="P162" s="65">
        <f>J162</f>
        <v>4147</v>
      </c>
      <c r="Q162" s="57" t="s">
        <v>84</v>
      </c>
      <c r="R162" s="82" t="s">
        <v>306</v>
      </c>
      <c r="S162" s="58" t="s">
        <v>55</v>
      </c>
      <c r="T162" s="58" t="s">
        <v>86</v>
      </c>
    </row>
    <row r="163" ht="43.2" spans="1:20">
      <c r="A163" s="30">
        <v>136</v>
      </c>
      <c r="B163" s="31" t="s">
        <v>28</v>
      </c>
      <c r="C163" s="31" t="s">
        <v>29</v>
      </c>
      <c r="D163" s="30" t="s">
        <v>57</v>
      </c>
      <c r="E163" s="33" t="s">
        <v>31</v>
      </c>
      <c r="F163" s="34" t="s">
        <v>236</v>
      </c>
      <c r="G163" s="35" t="s">
        <v>82</v>
      </c>
      <c r="H163" s="35">
        <v>45772</v>
      </c>
      <c r="I163" s="30">
        <v>0</v>
      </c>
      <c r="J163" s="30">
        <v>21530</v>
      </c>
      <c r="K163" s="32" t="s">
        <v>34</v>
      </c>
      <c r="L163" s="30">
        <v>0</v>
      </c>
      <c r="M163" s="30" t="s">
        <v>47</v>
      </c>
      <c r="N163" s="37">
        <f ca="1" t="shared" si="15"/>
        <v>16</v>
      </c>
      <c r="O163" s="32" t="s">
        <v>179</v>
      </c>
      <c r="P163" s="30">
        <f>J163</f>
        <v>21530</v>
      </c>
      <c r="Q163" s="31" t="s">
        <v>180</v>
      </c>
      <c r="R163" s="30" t="s">
        <v>307</v>
      </c>
      <c r="S163" s="39" t="s">
        <v>38</v>
      </c>
      <c r="T163" s="77"/>
    </row>
    <row r="164" ht="43.2" spans="1:20">
      <c r="A164" s="65">
        <v>558</v>
      </c>
      <c r="B164" s="79" t="s">
        <v>28</v>
      </c>
      <c r="C164" s="79" t="s">
        <v>29</v>
      </c>
      <c r="D164" s="79" t="s">
        <v>142</v>
      </c>
      <c r="E164" s="67"/>
      <c r="F164" s="67"/>
      <c r="G164" s="80"/>
      <c r="H164" s="76">
        <v>45772</v>
      </c>
      <c r="I164" s="65"/>
      <c r="J164" s="82">
        <v>226920</v>
      </c>
      <c r="K164" s="70"/>
      <c r="L164" s="65"/>
      <c r="M164" s="82" t="s">
        <v>42</v>
      </c>
      <c r="N164" s="37">
        <f ca="1" t="shared" si="15"/>
        <v>16</v>
      </c>
      <c r="O164" s="70"/>
      <c r="P164" s="65">
        <v>226920</v>
      </c>
      <c r="Q164" s="66" t="s">
        <v>193</v>
      </c>
      <c r="R164" s="82" t="s">
        <v>308</v>
      </c>
      <c r="S164" s="5"/>
    </row>
    <row r="165" ht="43.2" spans="1:20">
      <c r="A165" s="65">
        <v>559</v>
      </c>
      <c r="B165" s="66" t="s">
        <v>28</v>
      </c>
      <c r="C165" s="79" t="s">
        <v>29</v>
      </c>
      <c r="D165" s="79" t="s">
        <v>142</v>
      </c>
      <c r="E165" s="67"/>
      <c r="F165" s="67"/>
      <c r="G165" s="80"/>
      <c r="H165" s="76">
        <v>45772</v>
      </c>
      <c r="I165" s="65"/>
      <c r="J165" s="82">
        <v>314600</v>
      </c>
      <c r="K165" s="70"/>
      <c r="L165" s="65"/>
      <c r="M165" s="82" t="s">
        <v>97</v>
      </c>
      <c r="N165" s="37">
        <f ca="1" t="shared" si="15"/>
        <v>16</v>
      </c>
      <c r="O165" s="70"/>
      <c r="P165" s="65">
        <v>314600</v>
      </c>
      <c r="Q165" s="66" t="s">
        <v>193</v>
      </c>
      <c r="R165" s="82" t="s">
        <v>309</v>
      </c>
      <c r="S165" s="5"/>
    </row>
    <row r="166" ht="43.2" spans="1:20">
      <c r="A166" s="65">
        <v>560</v>
      </c>
      <c r="B166" s="79" t="s">
        <v>28</v>
      </c>
      <c r="C166" s="79" t="s">
        <v>29</v>
      </c>
      <c r="D166" s="79" t="s">
        <v>142</v>
      </c>
      <c r="E166" s="67"/>
      <c r="F166" s="67"/>
      <c r="G166" s="80"/>
      <c r="H166" s="76">
        <v>45772</v>
      </c>
      <c r="I166" s="65"/>
      <c r="J166" s="82">
        <v>44308</v>
      </c>
      <c r="K166" s="70"/>
      <c r="L166" s="65"/>
      <c r="M166" s="82" t="s">
        <v>42</v>
      </c>
      <c r="N166" s="37">
        <f ca="1" t="shared" si="15"/>
        <v>16</v>
      </c>
      <c r="O166" s="70"/>
      <c r="P166" s="65">
        <v>44308</v>
      </c>
      <c r="Q166" s="66" t="s">
        <v>193</v>
      </c>
      <c r="R166" s="82" t="s">
        <v>310</v>
      </c>
      <c r="S166" s="5"/>
    </row>
    <row r="167" ht="57.6" spans="1:20">
      <c r="A167" s="41">
        <v>127</v>
      </c>
      <c r="B167" s="42" t="s">
        <v>28</v>
      </c>
      <c r="C167" s="42" t="s">
        <v>311</v>
      </c>
      <c r="D167" s="41" t="s">
        <v>76</v>
      </c>
      <c r="E167" s="165" t="s">
        <v>41</v>
      </c>
      <c r="F167" s="165" t="s">
        <v>41</v>
      </c>
      <c r="G167" s="166" t="s">
        <v>41</v>
      </c>
      <c r="H167" s="74">
        <v>45772</v>
      </c>
      <c r="I167" s="41">
        <v>0</v>
      </c>
      <c r="J167" s="41">
        <v>11880</v>
      </c>
      <c r="K167" s="43" t="s">
        <v>34</v>
      </c>
      <c r="L167" s="41">
        <v>0</v>
      </c>
      <c r="M167" s="41" t="s">
        <v>35</v>
      </c>
      <c r="N167" s="37">
        <f ca="1" t="shared" si="15"/>
        <v>16</v>
      </c>
      <c r="O167" s="47">
        <v>46357</v>
      </c>
      <c r="P167" s="41">
        <f>J167</f>
        <v>11880</v>
      </c>
      <c r="Q167" s="42" t="s">
        <v>185</v>
      </c>
      <c r="R167" s="41" t="s">
        <v>312</v>
      </c>
      <c r="S167" s="48" t="s">
        <v>45</v>
      </c>
      <c r="T167" s="50"/>
    </row>
    <row r="168" ht="43.2" spans="1:20">
      <c r="A168" s="65">
        <v>562</v>
      </c>
      <c r="B168" s="79" t="s">
        <v>28</v>
      </c>
      <c r="C168" s="79" t="s">
        <v>29</v>
      </c>
      <c r="D168" s="79" t="s">
        <v>142</v>
      </c>
      <c r="E168" s="67"/>
      <c r="F168" s="67"/>
      <c r="G168" s="80"/>
      <c r="H168" s="76">
        <v>45774</v>
      </c>
      <c r="I168" s="65"/>
      <c r="J168" s="82">
        <v>15400</v>
      </c>
      <c r="K168" s="70"/>
      <c r="L168" s="65"/>
      <c r="M168" s="82" t="s">
        <v>58</v>
      </c>
      <c r="N168" s="37">
        <f ca="1" t="shared" si="15"/>
        <v>15.9333333333333</v>
      </c>
      <c r="O168" s="70"/>
      <c r="P168" s="65">
        <v>15400</v>
      </c>
      <c r="Q168" s="66" t="s">
        <v>193</v>
      </c>
      <c r="R168" s="82" t="s">
        <v>313</v>
      </c>
      <c r="S168" s="5"/>
    </row>
    <row r="169" ht="43.2" spans="1:20">
      <c r="A169" s="65">
        <v>563</v>
      </c>
      <c r="B169" s="79" t="s">
        <v>28</v>
      </c>
      <c r="C169" s="79" t="s">
        <v>29</v>
      </c>
      <c r="D169" s="79" t="s">
        <v>142</v>
      </c>
      <c r="E169" s="67"/>
      <c r="F169" s="67"/>
      <c r="G169" s="80"/>
      <c r="H169" s="76">
        <v>45774</v>
      </c>
      <c r="I169" s="65"/>
      <c r="J169" s="82">
        <v>213490</v>
      </c>
      <c r="K169" s="70"/>
      <c r="L169" s="65"/>
      <c r="M169" s="82" t="s">
        <v>58</v>
      </c>
      <c r="N169" s="37">
        <f ca="1" t="shared" si="15"/>
        <v>15.9333333333333</v>
      </c>
      <c r="O169" s="70"/>
      <c r="P169" s="65">
        <v>213490</v>
      </c>
      <c r="Q169" s="66" t="s">
        <v>193</v>
      </c>
      <c r="R169" s="82" t="s">
        <v>314</v>
      </c>
      <c r="S169" s="5"/>
    </row>
    <row r="170" ht="43.2" spans="1:20">
      <c r="A170" s="65">
        <v>156</v>
      </c>
      <c r="B170" s="79" t="s">
        <v>28</v>
      </c>
      <c r="C170" s="79" t="s">
        <v>29</v>
      </c>
      <c r="D170" s="82" t="s">
        <v>76</v>
      </c>
      <c r="E170" s="67" t="s">
        <v>31</v>
      </c>
      <c r="F170" s="57" t="s">
        <v>304</v>
      </c>
      <c r="G170" s="68" t="s">
        <v>305</v>
      </c>
      <c r="H170" s="68">
        <v>45775</v>
      </c>
      <c r="I170" s="65">
        <v>0</v>
      </c>
      <c r="J170" s="82">
        <v>2486</v>
      </c>
      <c r="K170" s="70" t="s">
        <v>83</v>
      </c>
      <c r="L170" s="65">
        <f>J170</f>
        <v>2486</v>
      </c>
      <c r="M170" s="82" t="s">
        <v>47</v>
      </c>
      <c r="N170" s="37">
        <f ca="1" t="shared" si="15"/>
        <v>15.9</v>
      </c>
      <c r="O170" s="71">
        <v>46388</v>
      </c>
      <c r="P170" s="65">
        <f t="shared" ref="P170:P185" si="16">J170</f>
        <v>2486</v>
      </c>
      <c r="Q170" s="57" t="s">
        <v>84</v>
      </c>
      <c r="R170" s="82" t="s">
        <v>315</v>
      </c>
      <c r="S170" s="58" t="s">
        <v>55</v>
      </c>
      <c r="T170" s="58" t="s">
        <v>86</v>
      </c>
    </row>
    <row r="171" ht="43.2" spans="1:20">
      <c r="A171" s="65">
        <v>160</v>
      </c>
      <c r="B171" s="79" t="s">
        <v>28</v>
      </c>
      <c r="C171" s="79" t="s">
        <v>93</v>
      </c>
      <c r="D171" s="82" t="s">
        <v>76</v>
      </c>
      <c r="E171" s="173" t="s">
        <v>41</v>
      </c>
      <c r="F171" s="57" t="s">
        <v>316</v>
      </c>
      <c r="G171" s="68" t="s">
        <v>95</v>
      </c>
      <c r="H171" s="68">
        <v>45776</v>
      </c>
      <c r="I171" s="65">
        <v>0</v>
      </c>
      <c r="J171" s="82">
        <v>5150</v>
      </c>
      <c r="K171" s="70" t="s">
        <v>34</v>
      </c>
      <c r="L171" s="65">
        <v>0</v>
      </c>
      <c r="M171" s="82" t="s">
        <v>35</v>
      </c>
      <c r="N171" s="37">
        <f ca="1" t="shared" si="15"/>
        <v>15.8666666666667</v>
      </c>
      <c r="O171" s="71">
        <v>46174</v>
      </c>
      <c r="P171" s="65">
        <f t="shared" si="16"/>
        <v>5150</v>
      </c>
      <c r="Q171" s="66" t="s">
        <v>317</v>
      </c>
      <c r="R171" s="82" t="s">
        <v>318</v>
      </c>
      <c r="S171" s="58" t="s">
        <v>55</v>
      </c>
      <c r="T171" s="5"/>
    </row>
    <row r="172" ht="43.2" spans="1:20">
      <c r="A172" s="65">
        <v>155</v>
      </c>
      <c r="B172" s="79" t="s">
        <v>28</v>
      </c>
      <c r="C172" s="79" t="s">
        <v>29</v>
      </c>
      <c r="D172" s="82" t="s">
        <v>76</v>
      </c>
      <c r="E172" s="67" t="s">
        <v>31</v>
      </c>
      <c r="F172" s="57" t="s">
        <v>304</v>
      </c>
      <c r="G172" s="68" t="s">
        <v>305</v>
      </c>
      <c r="H172" s="68">
        <v>45777</v>
      </c>
      <c r="I172" s="65">
        <v>0</v>
      </c>
      <c r="J172" s="82">
        <v>594</v>
      </c>
      <c r="K172" s="70" t="s">
        <v>83</v>
      </c>
      <c r="L172" s="65">
        <f t="shared" ref="L172:L178" si="17">J172</f>
        <v>594</v>
      </c>
      <c r="M172" s="82" t="s">
        <v>97</v>
      </c>
      <c r="N172" s="37">
        <f ca="1" t="shared" si="15"/>
        <v>15.8333333333333</v>
      </c>
      <c r="O172" s="71">
        <v>46388</v>
      </c>
      <c r="P172" s="65">
        <f t="shared" si="16"/>
        <v>594</v>
      </c>
      <c r="Q172" s="57" t="s">
        <v>84</v>
      </c>
      <c r="R172" s="82" t="s">
        <v>319</v>
      </c>
      <c r="S172" s="58" t="s">
        <v>55</v>
      </c>
      <c r="T172" s="58" t="s">
        <v>86</v>
      </c>
    </row>
    <row r="173" ht="43.2" spans="1:20">
      <c r="A173" s="65">
        <v>161</v>
      </c>
      <c r="B173" s="79" t="s">
        <v>28</v>
      </c>
      <c r="C173" s="79" t="s">
        <v>29</v>
      </c>
      <c r="D173" s="82" t="s">
        <v>76</v>
      </c>
      <c r="E173" s="67" t="s">
        <v>31</v>
      </c>
      <c r="F173" s="57" t="s">
        <v>304</v>
      </c>
      <c r="G173" s="68" t="s">
        <v>305</v>
      </c>
      <c r="H173" s="68">
        <v>45777</v>
      </c>
      <c r="I173" s="65">
        <v>0</v>
      </c>
      <c r="J173" s="82">
        <v>352</v>
      </c>
      <c r="K173" s="70" t="s">
        <v>83</v>
      </c>
      <c r="L173" s="65">
        <f t="shared" si="17"/>
        <v>352</v>
      </c>
      <c r="M173" s="82" t="s">
        <v>97</v>
      </c>
      <c r="N173" s="37">
        <f ca="1" t="shared" si="15"/>
        <v>15.8333333333333</v>
      </c>
      <c r="O173" s="71">
        <v>46388</v>
      </c>
      <c r="P173" s="65">
        <f t="shared" si="16"/>
        <v>352</v>
      </c>
      <c r="Q173" s="57" t="s">
        <v>84</v>
      </c>
      <c r="R173" s="82" t="s">
        <v>320</v>
      </c>
      <c r="S173" s="58" t="s">
        <v>55</v>
      </c>
      <c r="T173" s="58" t="s">
        <v>86</v>
      </c>
    </row>
    <row r="174" ht="43.2" spans="1:20">
      <c r="A174" s="65">
        <v>152</v>
      </c>
      <c r="B174" s="79" t="s">
        <v>28</v>
      </c>
      <c r="C174" s="79" t="s">
        <v>29</v>
      </c>
      <c r="D174" s="82" t="s">
        <v>76</v>
      </c>
      <c r="E174" s="67" t="s">
        <v>31</v>
      </c>
      <c r="F174" s="57" t="s">
        <v>304</v>
      </c>
      <c r="G174" s="68" t="s">
        <v>305</v>
      </c>
      <c r="H174" s="68">
        <v>45790</v>
      </c>
      <c r="I174" s="65">
        <v>0</v>
      </c>
      <c r="J174" s="82">
        <v>286</v>
      </c>
      <c r="K174" s="70" t="s">
        <v>83</v>
      </c>
      <c r="L174" s="65">
        <f t="shared" si="17"/>
        <v>286</v>
      </c>
      <c r="M174" s="82" t="s">
        <v>79</v>
      </c>
      <c r="N174" s="37">
        <f ca="1" t="shared" si="15"/>
        <v>15.4</v>
      </c>
      <c r="O174" s="71">
        <v>46388</v>
      </c>
      <c r="P174" s="65">
        <f t="shared" si="16"/>
        <v>286</v>
      </c>
      <c r="Q174" s="57" t="s">
        <v>84</v>
      </c>
      <c r="R174" s="82" t="s">
        <v>321</v>
      </c>
      <c r="S174" s="58" t="s">
        <v>55</v>
      </c>
      <c r="T174" s="58" t="s">
        <v>86</v>
      </c>
    </row>
    <row r="175" ht="43.2" spans="1:20">
      <c r="A175" s="65">
        <v>154</v>
      </c>
      <c r="B175" s="79" t="s">
        <v>28</v>
      </c>
      <c r="C175" s="79" t="s">
        <v>29</v>
      </c>
      <c r="D175" s="82" t="s">
        <v>76</v>
      </c>
      <c r="E175" s="67" t="s">
        <v>31</v>
      </c>
      <c r="F175" s="57" t="s">
        <v>304</v>
      </c>
      <c r="G175" s="68" t="s">
        <v>305</v>
      </c>
      <c r="H175" s="68">
        <v>45790</v>
      </c>
      <c r="I175" s="65">
        <v>0</v>
      </c>
      <c r="J175" s="82">
        <v>904.2</v>
      </c>
      <c r="K175" s="70" t="s">
        <v>83</v>
      </c>
      <c r="L175" s="65">
        <f t="shared" si="17"/>
        <v>904.2</v>
      </c>
      <c r="M175" s="82" t="s">
        <v>97</v>
      </c>
      <c r="N175" s="37">
        <f ca="1" t="shared" si="15"/>
        <v>15.4</v>
      </c>
      <c r="O175" s="71">
        <v>46388</v>
      </c>
      <c r="P175" s="65">
        <f t="shared" si="16"/>
        <v>904.2</v>
      </c>
      <c r="Q175" s="57" t="s">
        <v>84</v>
      </c>
      <c r="R175" s="82" t="s">
        <v>322</v>
      </c>
      <c r="S175" s="58" t="s">
        <v>55</v>
      </c>
      <c r="T175" s="58" t="s">
        <v>86</v>
      </c>
    </row>
    <row r="176" ht="43.2" spans="1:20">
      <c r="A176" s="65">
        <v>157</v>
      </c>
      <c r="B176" s="79" t="s">
        <v>28</v>
      </c>
      <c r="C176" s="79" t="s">
        <v>29</v>
      </c>
      <c r="D176" s="82" t="s">
        <v>76</v>
      </c>
      <c r="E176" s="67" t="s">
        <v>31</v>
      </c>
      <c r="F176" s="57" t="s">
        <v>304</v>
      </c>
      <c r="G176" s="68" t="s">
        <v>305</v>
      </c>
      <c r="H176" s="68">
        <v>45790</v>
      </c>
      <c r="I176" s="65">
        <v>0</v>
      </c>
      <c r="J176" s="82">
        <v>4356</v>
      </c>
      <c r="K176" s="70" t="s">
        <v>83</v>
      </c>
      <c r="L176" s="65">
        <f t="shared" si="17"/>
        <v>4356</v>
      </c>
      <c r="M176" s="82" t="s">
        <v>47</v>
      </c>
      <c r="N176" s="37">
        <f ca="1" t="shared" si="15"/>
        <v>15.4</v>
      </c>
      <c r="O176" s="71">
        <v>46388</v>
      </c>
      <c r="P176" s="65">
        <f t="shared" si="16"/>
        <v>4356</v>
      </c>
      <c r="Q176" s="57" t="s">
        <v>84</v>
      </c>
      <c r="R176" s="82" t="s">
        <v>323</v>
      </c>
      <c r="S176" s="58" t="s">
        <v>55</v>
      </c>
      <c r="T176" s="58" t="s">
        <v>86</v>
      </c>
    </row>
    <row r="177" ht="43.2" spans="1:20">
      <c r="A177" s="65">
        <v>150</v>
      </c>
      <c r="B177" s="79" t="s">
        <v>28</v>
      </c>
      <c r="C177" s="79" t="s">
        <v>29</v>
      </c>
      <c r="D177" s="82" t="s">
        <v>76</v>
      </c>
      <c r="E177" s="67" t="s">
        <v>31</v>
      </c>
      <c r="F177" s="57" t="s">
        <v>304</v>
      </c>
      <c r="G177" s="68" t="s">
        <v>305</v>
      </c>
      <c r="H177" s="68">
        <v>45792</v>
      </c>
      <c r="I177" s="65">
        <v>0</v>
      </c>
      <c r="J177" s="82">
        <v>4664</v>
      </c>
      <c r="K177" s="70" t="s">
        <v>83</v>
      </c>
      <c r="L177" s="65">
        <f t="shared" si="17"/>
        <v>4664</v>
      </c>
      <c r="M177" s="82" t="s">
        <v>79</v>
      </c>
      <c r="N177" s="37">
        <f ca="1" t="shared" si="15"/>
        <v>15.3333333333333</v>
      </c>
      <c r="O177" s="71">
        <v>46388</v>
      </c>
      <c r="P177" s="65">
        <f t="shared" si="16"/>
        <v>4664</v>
      </c>
      <c r="Q177" s="57" t="s">
        <v>84</v>
      </c>
      <c r="R177" s="82" t="s">
        <v>324</v>
      </c>
      <c r="S177" s="58" t="s">
        <v>55</v>
      </c>
      <c r="T177" s="58" t="s">
        <v>86</v>
      </c>
    </row>
    <row r="178" ht="43.2" spans="1:20">
      <c r="A178" s="65">
        <v>151</v>
      </c>
      <c r="B178" s="79" t="s">
        <v>28</v>
      </c>
      <c r="C178" s="79" t="s">
        <v>29</v>
      </c>
      <c r="D178" s="82" t="s">
        <v>76</v>
      </c>
      <c r="E178" s="67" t="s">
        <v>31</v>
      </c>
      <c r="F178" s="57" t="s">
        <v>304</v>
      </c>
      <c r="G178" s="68" t="s">
        <v>305</v>
      </c>
      <c r="H178" s="68">
        <v>45792</v>
      </c>
      <c r="I178" s="65">
        <v>0</v>
      </c>
      <c r="J178" s="82">
        <v>286</v>
      </c>
      <c r="K178" s="70" t="s">
        <v>83</v>
      </c>
      <c r="L178" s="65">
        <f t="shared" si="17"/>
        <v>286</v>
      </c>
      <c r="M178" s="82" t="s">
        <v>97</v>
      </c>
      <c r="N178" s="37">
        <f ca="1" t="shared" si="15"/>
        <v>15.3333333333333</v>
      </c>
      <c r="O178" s="71">
        <v>46388</v>
      </c>
      <c r="P178" s="65">
        <f t="shared" si="16"/>
        <v>286</v>
      </c>
      <c r="Q178" s="57" t="s">
        <v>84</v>
      </c>
      <c r="R178" s="82" t="s">
        <v>325</v>
      </c>
      <c r="S178" s="58" t="s">
        <v>55</v>
      </c>
      <c r="T178" s="58" t="s">
        <v>86</v>
      </c>
    </row>
    <row r="179" ht="43.2" spans="1:20">
      <c r="A179" s="41">
        <v>159</v>
      </c>
      <c r="B179" s="42" t="s">
        <v>28</v>
      </c>
      <c r="C179" s="42" t="s">
        <v>326</v>
      </c>
      <c r="D179" s="41" t="s">
        <v>57</v>
      </c>
      <c r="E179" s="165" t="s">
        <v>41</v>
      </c>
      <c r="F179" s="174" t="s">
        <v>41</v>
      </c>
      <c r="G179" s="166" t="s">
        <v>41</v>
      </c>
      <c r="H179" s="74">
        <v>45796</v>
      </c>
      <c r="I179" s="41">
        <v>0</v>
      </c>
      <c r="J179" s="41">
        <v>6173</v>
      </c>
      <c r="K179" s="43" t="s">
        <v>34</v>
      </c>
      <c r="L179" s="41">
        <v>0</v>
      </c>
      <c r="M179" s="41" t="s">
        <v>42</v>
      </c>
      <c r="N179" s="37">
        <f ca="1" t="shared" si="15"/>
        <v>15.2</v>
      </c>
      <c r="O179" s="47">
        <v>46266</v>
      </c>
      <c r="P179" s="41">
        <f t="shared" si="16"/>
        <v>6173</v>
      </c>
      <c r="Q179" s="42" t="s">
        <v>185</v>
      </c>
      <c r="R179" s="41" t="s">
        <v>327</v>
      </c>
      <c r="S179" s="48" t="s">
        <v>45</v>
      </c>
      <c r="T179" s="50"/>
    </row>
    <row r="180" ht="43.2" spans="1:20">
      <c r="A180" s="65">
        <v>162</v>
      </c>
      <c r="B180" s="79" t="s">
        <v>28</v>
      </c>
      <c r="C180" s="79" t="s">
        <v>93</v>
      </c>
      <c r="D180" s="82" t="s">
        <v>57</v>
      </c>
      <c r="E180" s="67" t="s">
        <v>31</v>
      </c>
      <c r="F180" s="57" t="s">
        <v>94</v>
      </c>
      <c r="G180" s="68" t="s">
        <v>95</v>
      </c>
      <c r="H180" s="68">
        <v>45796</v>
      </c>
      <c r="I180" s="65">
        <v>0</v>
      </c>
      <c r="J180" s="82">
        <v>2104.98</v>
      </c>
      <c r="K180" s="70" t="s">
        <v>83</v>
      </c>
      <c r="L180" s="65">
        <f>J180</f>
        <v>2104.98</v>
      </c>
      <c r="M180" s="82" t="s">
        <v>79</v>
      </c>
      <c r="N180" s="37">
        <f ca="1" t="shared" si="15"/>
        <v>15.2</v>
      </c>
      <c r="O180" s="71">
        <v>46419</v>
      </c>
      <c r="P180" s="65">
        <f t="shared" si="16"/>
        <v>2104.98</v>
      </c>
      <c r="Q180" s="57" t="s">
        <v>84</v>
      </c>
      <c r="R180" s="82" t="s">
        <v>328</v>
      </c>
      <c r="S180" s="58" t="s">
        <v>55</v>
      </c>
      <c r="T180" s="58" t="s">
        <v>86</v>
      </c>
    </row>
    <row r="181" ht="43.2" spans="1:20">
      <c r="A181" s="65">
        <v>153</v>
      </c>
      <c r="B181" s="79" t="s">
        <v>28</v>
      </c>
      <c r="C181" s="79" t="s">
        <v>93</v>
      </c>
      <c r="D181" s="82" t="s">
        <v>57</v>
      </c>
      <c r="E181" s="67" t="s">
        <v>31</v>
      </c>
      <c r="F181" s="57" t="s">
        <v>94</v>
      </c>
      <c r="G181" s="68" t="s">
        <v>95</v>
      </c>
      <c r="H181" s="68">
        <v>45799</v>
      </c>
      <c r="I181" s="65">
        <v>0</v>
      </c>
      <c r="J181" s="82">
        <v>543.49</v>
      </c>
      <c r="K181" s="70" t="s">
        <v>83</v>
      </c>
      <c r="L181" s="65">
        <f>J181</f>
        <v>543.49</v>
      </c>
      <c r="M181" s="82" t="s">
        <v>58</v>
      </c>
      <c r="N181" s="37">
        <f ca="1" t="shared" si="15"/>
        <v>15.1</v>
      </c>
      <c r="O181" s="71">
        <v>46419</v>
      </c>
      <c r="P181" s="65">
        <f t="shared" si="16"/>
        <v>543.49</v>
      </c>
      <c r="Q181" s="57" t="s">
        <v>84</v>
      </c>
      <c r="R181" s="82" t="s">
        <v>329</v>
      </c>
      <c r="S181" s="58" t="s">
        <v>55</v>
      </c>
      <c r="T181" s="58" t="s">
        <v>86</v>
      </c>
    </row>
    <row r="182" ht="57.6" spans="1:20">
      <c r="A182" s="41">
        <v>158</v>
      </c>
      <c r="B182" s="42" t="s">
        <v>28</v>
      </c>
      <c r="C182" s="42" t="s">
        <v>330</v>
      </c>
      <c r="D182" s="41" t="s">
        <v>57</v>
      </c>
      <c r="E182" s="165" t="s">
        <v>41</v>
      </c>
      <c r="F182" s="174" t="s">
        <v>41</v>
      </c>
      <c r="G182" s="166" t="s">
        <v>41</v>
      </c>
      <c r="H182" s="74">
        <v>45800</v>
      </c>
      <c r="I182" s="41">
        <v>0</v>
      </c>
      <c r="J182" s="41">
        <v>14654</v>
      </c>
      <c r="K182" s="43" t="s">
        <v>34</v>
      </c>
      <c r="L182" s="41">
        <v>0</v>
      </c>
      <c r="M182" s="41" t="s">
        <v>42</v>
      </c>
      <c r="N182" s="37">
        <f ca="1" t="shared" si="15"/>
        <v>15.0666666666667</v>
      </c>
      <c r="O182" s="47">
        <v>46266</v>
      </c>
      <c r="P182" s="41">
        <f t="shared" si="16"/>
        <v>14654</v>
      </c>
      <c r="Q182" s="42" t="s">
        <v>185</v>
      </c>
      <c r="R182" s="41" t="s">
        <v>331</v>
      </c>
      <c r="S182" s="48" t="s">
        <v>45</v>
      </c>
      <c r="T182" s="50"/>
    </row>
    <row r="183" ht="43.2" spans="1:20">
      <c r="A183" s="65">
        <v>163</v>
      </c>
      <c r="B183" s="79" t="s">
        <v>28</v>
      </c>
      <c r="C183" s="79" t="s">
        <v>29</v>
      </c>
      <c r="D183" s="82" t="s">
        <v>76</v>
      </c>
      <c r="E183" s="67" t="s">
        <v>31</v>
      </c>
      <c r="F183" s="57" t="s">
        <v>304</v>
      </c>
      <c r="G183" s="68" t="s">
        <v>305</v>
      </c>
      <c r="H183" s="68">
        <v>45804</v>
      </c>
      <c r="I183" s="65">
        <v>0</v>
      </c>
      <c r="J183" s="82">
        <v>488.4</v>
      </c>
      <c r="K183" s="70" t="s">
        <v>83</v>
      </c>
      <c r="L183" s="65">
        <f>J183</f>
        <v>488.4</v>
      </c>
      <c r="M183" s="82" t="s">
        <v>35</v>
      </c>
      <c r="N183" s="37">
        <f ca="1" t="shared" si="15"/>
        <v>14.9333333333333</v>
      </c>
      <c r="O183" s="71">
        <v>46388</v>
      </c>
      <c r="P183" s="65">
        <f t="shared" si="16"/>
        <v>488.4</v>
      </c>
      <c r="Q183" s="57" t="s">
        <v>84</v>
      </c>
      <c r="R183" s="82" t="s">
        <v>332</v>
      </c>
      <c r="S183" s="58" t="s">
        <v>55</v>
      </c>
      <c r="T183" s="58" t="s">
        <v>86</v>
      </c>
    </row>
    <row r="184" ht="43.2" spans="1:20">
      <c r="A184" s="65">
        <v>174</v>
      </c>
      <c r="B184" s="79" t="s">
        <v>28</v>
      </c>
      <c r="C184" s="79" t="s">
        <v>29</v>
      </c>
      <c r="D184" s="82" t="s">
        <v>76</v>
      </c>
      <c r="E184" s="67" t="s">
        <v>31</v>
      </c>
      <c r="F184" s="57" t="s">
        <v>304</v>
      </c>
      <c r="G184" s="68" t="s">
        <v>305</v>
      </c>
      <c r="H184" s="68">
        <v>45804</v>
      </c>
      <c r="I184" s="65">
        <v>0</v>
      </c>
      <c r="J184" s="82">
        <v>356.4</v>
      </c>
      <c r="K184" s="70" t="s">
        <v>83</v>
      </c>
      <c r="L184" s="65">
        <f>J184</f>
        <v>356.4</v>
      </c>
      <c r="M184" s="82" t="s">
        <v>35</v>
      </c>
      <c r="N184" s="37">
        <f ca="1" t="shared" si="15"/>
        <v>14.9333333333333</v>
      </c>
      <c r="O184" s="71">
        <v>46388</v>
      </c>
      <c r="P184" s="65">
        <f t="shared" si="16"/>
        <v>356.4</v>
      </c>
      <c r="Q184" s="57" t="s">
        <v>84</v>
      </c>
      <c r="R184" s="82" t="s">
        <v>333</v>
      </c>
      <c r="S184" s="58" t="s">
        <v>55</v>
      </c>
      <c r="T184" s="58" t="s">
        <v>86</v>
      </c>
    </row>
    <row r="185" ht="43.2" spans="1:20">
      <c r="A185" s="65">
        <v>182</v>
      </c>
      <c r="B185" s="79" t="s">
        <v>28</v>
      </c>
      <c r="C185" s="79" t="s">
        <v>29</v>
      </c>
      <c r="D185" s="82" t="s">
        <v>76</v>
      </c>
      <c r="E185" s="67" t="s">
        <v>31</v>
      </c>
      <c r="F185" s="57" t="s">
        <v>304</v>
      </c>
      <c r="G185" s="68" t="s">
        <v>305</v>
      </c>
      <c r="H185" s="68">
        <v>45804</v>
      </c>
      <c r="I185" s="65">
        <v>0</v>
      </c>
      <c r="J185" s="82">
        <v>880</v>
      </c>
      <c r="K185" s="70" t="s">
        <v>83</v>
      </c>
      <c r="L185" s="65">
        <f>J185</f>
        <v>880</v>
      </c>
      <c r="M185" s="82" t="s">
        <v>97</v>
      </c>
      <c r="N185" s="37">
        <f ca="1" t="shared" si="15"/>
        <v>14.9333333333333</v>
      </c>
      <c r="O185" s="71">
        <v>46419</v>
      </c>
      <c r="P185" s="65">
        <f t="shared" si="16"/>
        <v>880</v>
      </c>
      <c r="Q185" s="57" t="s">
        <v>84</v>
      </c>
      <c r="R185" s="82" t="s">
        <v>334</v>
      </c>
      <c r="S185" s="58" t="s">
        <v>55</v>
      </c>
      <c r="T185" s="58" t="s">
        <v>86</v>
      </c>
    </row>
    <row r="186" ht="43.2" spans="1:20">
      <c r="A186" s="65">
        <v>376</v>
      </c>
      <c r="B186" s="79" t="s">
        <v>28</v>
      </c>
      <c r="C186" s="79" t="s">
        <v>93</v>
      </c>
      <c r="D186" s="82" t="s">
        <v>57</v>
      </c>
      <c r="E186" s="67" t="s">
        <v>31</v>
      </c>
      <c r="F186" s="57" t="s">
        <v>150</v>
      </c>
      <c r="G186" s="83" t="s">
        <v>151</v>
      </c>
      <c r="H186" s="76">
        <v>45812</v>
      </c>
      <c r="I186" s="65">
        <v>0</v>
      </c>
      <c r="J186" s="82">
        <v>543.49</v>
      </c>
      <c r="K186" s="70" t="s">
        <v>34</v>
      </c>
      <c r="L186" s="65">
        <v>0</v>
      </c>
      <c r="M186" s="84" t="s">
        <v>79</v>
      </c>
      <c r="N186" s="37">
        <f ca="1" t="shared" si="15"/>
        <v>14.6666666666667</v>
      </c>
      <c r="O186" s="71" t="s">
        <v>152</v>
      </c>
      <c r="P186" s="65">
        <v>543.49</v>
      </c>
      <c r="Q186" s="66" t="s">
        <v>53</v>
      </c>
      <c r="R186" s="82" t="s">
        <v>335</v>
      </c>
      <c r="S186" s="58" t="s">
        <v>55</v>
      </c>
      <c r="T186" s="5" t="s">
        <v>86</v>
      </c>
    </row>
    <row r="187" ht="43.2" spans="1:20">
      <c r="A187" s="30">
        <v>165</v>
      </c>
      <c r="B187" s="31" t="s">
        <v>28</v>
      </c>
      <c r="C187" s="31" t="s">
        <v>29</v>
      </c>
      <c r="D187" s="30" t="s">
        <v>57</v>
      </c>
      <c r="E187" s="33" t="s">
        <v>31</v>
      </c>
      <c r="F187" s="109" t="s">
        <v>236</v>
      </c>
      <c r="G187" s="35" t="s">
        <v>82</v>
      </c>
      <c r="H187" s="35">
        <v>45812</v>
      </c>
      <c r="I187" s="30">
        <v>0</v>
      </c>
      <c r="J187" s="30">
        <v>23688</v>
      </c>
      <c r="K187" s="32" t="s">
        <v>34</v>
      </c>
      <c r="L187" s="30">
        <v>0</v>
      </c>
      <c r="M187" s="30" t="s">
        <v>58</v>
      </c>
      <c r="N187" s="37">
        <f ca="1" t="shared" si="15"/>
        <v>14.6666666666667</v>
      </c>
      <c r="O187" s="32" t="s">
        <v>179</v>
      </c>
      <c r="P187" s="30">
        <f t="shared" ref="P187:P205" si="18">J187</f>
        <v>23688</v>
      </c>
      <c r="Q187" s="31" t="s">
        <v>180</v>
      </c>
      <c r="R187" s="30" t="s">
        <v>336</v>
      </c>
      <c r="S187" s="39" t="s">
        <v>38</v>
      </c>
      <c r="T187" s="77"/>
    </row>
    <row r="188" ht="43.2" spans="1:20">
      <c r="A188" s="65">
        <v>166</v>
      </c>
      <c r="B188" s="79" t="s">
        <v>28</v>
      </c>
      <c r="C188" s="79" t="s">
        <v>29</v>
      </c>
      <c r="D188" s="82" t="s">
        <v>76</v>
      </c>
      <c r="E188" s="67" t="s">
        <v>31</v>
      </c>
      <c r="F188" s="57" t="s">
        <v>81</v>
      </c>
      <c r="G188" s="68" t="s">
        <v>82</v>
      </c>
      <c r="H188" s="68">
        <v>45812</v>
      </c>
      <c r="I188" s="65">
        <v>0</v>
      </c>
      <c r="J188" s="82">
        <v>5016</v>
      </c>
      <c r="K188" s="70" t="s">
        <v>83</v>
      </c>
      <c r="L188" s="65">
        <f>J188</f>
        <v>5016</v>
      </c>
      <c r="M188" s="82" t="s">
        <v>47</v>
      </c>
      <c r="N188" s="37">
        <f ca="1" t="shared" si="15"/>
        <v>14.6666666666667</v>
      </c>
      <c r="O188" s="71">
        <v>46388</v>
      </c>
      <c r="P188" s="65">
        <f t="shared" si="18"/>
        <v>5016</v>
      </c>
      <c r="Q188" s="57" t="s">
        <v>84</v>
      </c>
      <c r="R188" s="82" t="s">
        <v>337</v>
      </c>
      <c r="S188" s="58" t="s">
        <v>55</v>
      </c>
      <c r="T188" s="58" t="s">
        <v>86</v>
      </c>
    </row>
    <row r="189" ht="43.2" spans="1:20">
      <c r="A189" s="65">
        <v>171</v>
      </c>
      <c r="B189" s="79" t="s">
        <v>28</v>
      </c>
      <c r="C189" s="79" t="s">
        <v>29</v>
      </c>
      <c r="D189" s="82" t="s">
        <v>76</v>
      </c>
      <c r="E189" s="67" t="s">
        <v>31</v>
      </c>
      <c r="F189" s="57" t="s">
        <v>81</v>
      </c>
      <c r="G189" s="68" t="s">
        <v>82</v>
      </c>
      <c r="H189" s="68">
        <v>45812</v>
      </c>
      <c r="I189" s="65">
        <v>0</v>
      </c>
      <c r="J189" s="82">
        <v>770</v>
      </c>
      <c r="K189" s="70" t="s">
        <v>83</v>
      </c>
      <c r="L189" s="65">
        <f>J189</f>
        <v>770</v>
      </c>
      <c r="M189" s="82" t="s">
        <v>47</v>
      </c>
      <c r="N189" s="37">
        <f ca="1" t="shared" si="15"/>
        <v>14.6666666666667</v>
      </c>
      <c r="O189" s="71">
        <v>46388</v>
      </c>
      <c r="P189" s="65">
        <f t="shared" si="18"/>
        <v>770</v>
      </c>
      <c r="Q189" s="57" t="s">
        <v>84</v>
      </c>
      <c r="R189" s="82" t="s">
        <v>338</v>
      </c>
      <c r="S189" s="58" t="s">
        <v>55</v>
      </c>
      <c r="T189" s="58" t="s">
        <v>86</v>
      </c>
    </row>
    <row r="190" ht="43.2" spans="1:20">
      <c r="A190" s="65">
        <v>185</v>
      </c>
      <c r="B190" s="79" t="s">
        <v>28</v>
      </c>
      <c r="C190" s="79" t="s">
        <v>29</v>
      </c>
      <c r="D190" s="82" t="s">
        <v>76</v>
      </c>
      <c r="E190" s="67" t="s">
        <v>31</v>
      </c>
      <c r="F190" s="57" t="s">
        <v>304</v>
      </c>
      <c r="G190" s="68" t="s">
        <v>305</v>
      </c>
      <c r="H190" s="68">
        <v>45812</v>
      </c>
      <c r="I190" s="65">
        <v>0</v>
      </c>
      <c r="J190" s="82">
        <v>220</v>
      </c>
      <c r="K190" s="70" t="s">
        <v>83</v>
      </c>
      <c r="L190" s="65">
        <f>J190</f>
        <v>220</v>
      </c>
      <c r="M190" s="82" t="s">
        <v>79</v>
      </c>
      <c r="N190" s="37">
        <f ca="1" t="shared" si="15"/>
        <v>14.6666666666667</v>
      </c>
      <c r="O190" s="71">
        <v>46419</v>
      </c>
      <c r="P190" s="65">
        <f t="shared" si="18"/>
        <v>220</v>
      </c>
      <c r="Q190" s="57" t="s">
        <v>84</v>
      </c>
      <c r="R190" s="82" t="s">
        <v>339</v>
      </c>
      <c r="S190" s="58" t="s">
        <v>55</v>
      </c>
      <c r="T190" s="58" t="s">
        <v>86</v>
      </c>
    </row>
    <row r="191" ht="43.2" spans="1:20">
      <c r="A191" s="41">
        <v>169</v>
      </c>
      <c r="B191" s="42" t="s">
        <v>28</v>
      </c>
      <c r="C191" s="42" t="s">
        <v>60</v>
      </c>
      <c r="D191" s="41" t="s">
        <v>57</v>
      </c>
      <c r="E191" s="165" t="s">
        <v>41</v>
      </c>
      <c r="F191" s="174" t="s">
        <v>41</v>
      </c>
      <c r="G191" s="166" t="s">
        <v>41</v>
      </c>
      <c r="H191" s="74">
        <v>45814</v>
      </c>
      <c r="I191" s="41">
        <v>0</v>
      </c>
      <c r="J191" s="41">
        <v>20228</v>
      </c>
      <c r="K191" s="43" t="s">
        <v>34</v>
      </c>
      <c r="L191" s="41">
        <v>0</v>
      </c>
      <c r="M191" s="41" t="s">
        <v>58</v>
      </c>
      <c r="N191" s="37">
        <f ca="1" t="shared" si="15"/>
        <v>14.6</v>
      </c>
      <c r="O191" s="47">
        <v>46266</v>
      </c>
      <c r="P191" s="41">
        <f t="shared" si="18"/>
        <v>20228</v>
      </c>
      <c r="Q191" s="63" t="s">
        <v>185</v>
      </c>
      <c r="R191" s="41" t="s">
        <v>340</v>
      </c>
      <c r="S191" s="48" t="s">
        <v>45</v>
      </c>
      <c r="T191" s="50"/>
    </row>
    <row r="192" ht="43.2" spans="1:20">
      <c r="A192" s="65">
        <v>172</v>
      </c>
      <c r="B192" s="79" t="s">
        <v>28</v>
      </c>
      <c r="C192" s="79" t="s">
        <v>29</v>
      </c>
      <c r="D192" s="82" t="s">
        <v>76</v>
      </c>
      <c r="E192" s="67" t="s">
        <v>31</v>
      </c>
      <c r="F192" s="57" t="s">
        <v>81</v>
      </c>
      <c r="G192" s="68" t="s">
        <v>82</v>
      </c>
      <c r="H192" s="68">
        <v>45814</v>
      </c>
      <c r="I192" s="65">
        <v>0</v>
      </c>
      <c r="J192" s="82">
        <v>4136</v>
      </c>
      <c r="K192" s="70" t="s">
        <v>83</v>
      </c>
      <c r="L192" s="65">
        <f>J192</f>
        <v>4136</v>
      </c>
      <c r="M192" s="82" t="s">
        <v>35</v>
      </c>
      <c r="N192" s="37">
        <f ca="1" t="shared" si="15"/>
        <v>14.6</v>
      </c>
      <c r="O192" s="71">
        <v>46388</v>
      </c>
      <c r="P192" s="65">
        <f t="shared" si="18"/>
        <v>4136</v>
      </c>
      <c r="Q192" s="57" t="s">
        <v>84</v>
      </c>
      <c r="R192" s="82" t="s">
        <v>341</v>
      </c>
      <c r="S192" s="58" t="s">
        <v>55</v>
      </c>
      <c r="T192" s="58" t="s">
        <v>86</v>
      </c>
    </row>
    <row r="193" ht="43.2" spans="1:20">
      <c r="A193" s="65">
        <v>164</v>
      </c>
      <c r="B193" s="79" t="s">
        <v>28</v>
      </c>
      <c r="C193" s="79" t="s">
        <v>29</v>
      </c>
      <c r="D193" s="82" t="s">
        <v>76</v>
      </c>
      <c r="E193" s="67" t="s">
        <v>31</v>
      </c>
      <c r="F193" s="57" t="s">
        <v>81</v>
      </c>
      <c r="G193" s="68" t="s">
        <v>82</v>
      </c>
      <c r="H193" s="68">
        <v>45815</v>
      </c>
      <c r="I193" s="65">
        <v>0</v>
      </c>
      <c r="J193" s="82">
        <v>9526</v>
      </c>
      <c r="K193" s="70" t="s">
        <v>83</v>
      </c>
      <c r="L193" s="65">
        <f>J193</f>
        <v>9526</v>
      </c>
      <c r="M193" s="82" t="s">
        <v>42</v>
      </c>
      <c r="N193" s="37">
        <f ca="1" t="shared" si="15"/>
        <v>14.5666666666667</v>
      </c>
      <c r="O193" s="71">
        <v>46388</v>
      </c>
      <c r="P193" s="65">
        <f t="shared" si="18"/>
        <v>9526</v>
      </c>
      <c r="Q193" s="57" t="s">
        <v>84</v>
      </c>
      <c r="R193" s="82" t="s">
        <v>342</v>
      </c>
      <c r="S193" s="58" t="s">
        <v>55</v>
      </c>
      <c r="T193" s="58" t="s">
        <v>86</v>
      </c>
    </row>
    <row r="194" ht="43.2" spans="1:20">
      <c r="A194" s="65">
        <v>175</v>
      </c>
      <c r="B194" s="79" t="s">
        <v>28</v>
      </c>
      <c r="C194" s="79" t="s">
        <v>29</v>
      </c>
      <c r="D194" s="82" t="s">
        <v>76</v>
      </c>
      <c r="E194" s="67" t="s">
        <v>31</v>
      </c>
      <c r="F194" s="57" t="s">
        <v>81</v>
      </c>
      <c r="G194" s="68" t="s">
        <v>82</v>
      </c>
      <c r="H194" s="68">
        <v>45815</v>
      </c>
      <c r="I194" s="65">
        <v>0</v>
      </c>
      <c r="J194" s="82">
        <v>1606</v>
      </c>
      <c r="K194" s="70" t="s">
        <v>83</v>
      </c>
      <c r="L194" s="65">
        <f>J194</f>
        <v>1606</v>
      </c>
      <c r="M194" s="82" t="s">
        <v>79</v>
      </c>
      <c r="N194" s="37">
        <f ca="1" t="shared" si="15"/>
        <v>14.5666666666667</v>
      </c>
      <c r="O194" s="71">
        <v>46388</v>
      </c>
      <c r="P194" s="65">
        <f t="shared" si="18"/>
        <v>1606</v>
      </c>
      <c r="Q194" s="57" t="s">
        <v>84</v>
      </c>
      <c r="R194" s="82" t="s">
        <v>343</v>
      </c>
      <c r="S194" s="58" t="s">
        <v>55</v>
      </c>
      <c r="T194" s="58" t="s">
        <v>86</v>
      </c>
    </row>
    <row r="195" ht="57.6" spans="1:20">
      <c r="A195" s="41">
        <v>177</v>
      </c>
      <c r="B195" s="42" t="s">
        <v>28</v>
      </c>
      <c r="C195" s="42" t="s">
        <v>311</v>
      </c>
      <c r="D195" s="41" t="s">
        <v>76</v>
      </c>
      <c r="E195" s="165" t="s">
        <v>41</v>
      </c>
      <c r="F195" s="174" t="s">
        <v>41</v>
      </c>
      <c r="G195" s="166" t="s">
        <v>41</v>
      </c>
      <c r="H195" s="74">
        <v>45815</v>
      </c>
      <c r="I195" s="41">
        <v>0</v>
      </c>
      <c r="J195" s="41">
        <v>9240</v>
      </c>
      <c r="K195" s="43" t="s">
        <v>34</v>
      </c>
      <c r="L195" s="41">
        <v>0</v>
      </c>
      <c r="M195" s="41" t="s">
        <v>79</v>
      </c>
      <c r="N195" s="37">
        <f ca="1" t="shared" si="15"/>
        <v>14.5666666666667</v>
      </c>
      <c r="O195" s="47">
        <v>46357</v>
      </c>
      <c r="P195" s="41">
        <f t="shared" si="18"/>
        <v>9240</v>
      </c>
      <c r="Q195" s="42" t="s">
        <v>185</v>
      </c>
      <c r="R195" s="41" t="s">
        <v>344</v>
      </c>
      <c r="S195" s="48" t="s">
        <v>45</v>
      </c>
      <c r="T195" s="50"/>
    </row>
    <row r="196" ht="43.2" spans="1:20">
      <c r="A196" s="65">
        <v>170</v>
      </c>
      <c r="B196" s="79" t="s">
        <v>28</v>
      </c>
      <c r="C196" s="79" t="s">
        <v>49</v>
      </c>
      <c r="D196" s="82" t="s">
        <v>57</v>
      </c>
      <c r="E196" s="171" t="s">
        <v>31</v>
      </c>
      <c r="F196" s="57" t="s">
        <v>345</v>
      </c>
      <c r="G196" s="83" t="s">
        <v>346</v>
      </c>
      <c r="H196" s="68">
        <v>45819</v>
      </c>
      <c r="I196" s="65">
        <v>0</v>
      </c>
      <c r="J196" s="82">
        <v>18480</v>
      </c>
      <c r="K196" s="70" t="s">
        <v>34</v>
      </c>
      <c r="L196" s="65">
        <v>0</v>
      </c>
      <c r="M196" s="82" t="s">
        <v>79</v>
      </c>
      <c r="N196" s="37">
        <f ca="1" t="shared" si="15"/>
        <v>14.4333333333333</v>
      </c>
      <c r="O196" s="71">
        <v>46266</v>
      </c>
      <c r="P196" s="65">
        <f t="shared" si="18"/>
        <v>18480</v>
      </c>
      <c r="Q196" s="66" t="s">
        <v>201</v>
      </c>
      <c r="R196" s="82" t="s">
        <v>347</v>
      </c>
      <c r="S196" s="58" t="s">
        <v>55</v>
      </c>
      <c r="T196" s="5"/>
    </row>
    <row r="197" ht="43.2" spans="1:20">
      <c r="A197" s="65">
        <v>180</v>
      </c>
      <c r="B197" s="79" t="s">
        <v>28</v>
      </c>
      <c r="C197" s="79" t="s">
        <v>49</v>
      </c>
      <c r="D197" s="82" t="s">
        <v>57</v>
      </c>
      <c r="E197" s="171" t="s">
        <v>31</v>
      </c>
      <c r="F197" s="57" t="s">
        <v>345</v>
      </c>
      <c r="G197" s="83" t="s">
        <v>346</v>
      </c>
      <c r="H197" s="68">
        <v>45819</v>
      </c>
      <c r="I197" s="65">
        <v>0</v>
      </c>
      <c r="J197" s="82">
        <v>21000</v>
      </c>
      <c r="K197" s="70" t="s">
        <v>34</v>
      </c>
      <c r="L197" s="65">
        <v>0</v>
      </c>
      <c r="M197" s="82" t="s">
        <v>79</v>
      </c>
      <c r="N197" s="37">
        <f ca="1" t="shared" si="15"/>
        <v>14.4333333333333</v>
      </c>
      <c r="O197" s="71">
        <v>46266</v>
      </c>
      <c r="P197" s="65">
        <f t="shared" si="18"/>
        <v>21000</v>
      </c>
      <c r="Q197" s="66" t="s">
        <v>201</v>
      </c>
      <c r="R197" s="82" t="s">
        <v>348</v>
      </c>
      <c r="S197" s="58" t="s">
        <v>55</v>
      </c>
      <c r="T197" s="5"/>
    </row>
    <row r="198" ht="43.2" spans="1:20">
      <c r="A198" s="65">
        <v>181</v>
      </c>
      <c r="B198" s="79" t="s">
        <v>28</v>
      </c>
      <c r="C198" s="79" t="s">
        <v>93</v>
      </c>
      <c r="D198" s="82" t="s">
        <v>57</v>
      </c>
      <c r="E198" s="67" t="s">
        <v>31</v>
      </c>
      <c r="F198" s="57" t="s">
        <v>94</v>
      </c>
      <c r="G198" s="68" t="s">
        <v>95</v>
      </c>
      <c r="H198" s="68">
        <v>45819</v>
      </c>
      <c r="I198" s="65">
        <v>0</v>
      </c>
      <c r="J198" s="82">
        <v>543.49</v>
      </c>
      <c r="K198" s="70" t="s">
        <v>83</v>
      </c>
      <c r="L198" s="65">
        <f>J198</f>
        <v>543.49</v>
      </c>
      <c r="M198" s="82" t="s">
        <v>47</v>
      </c>
      <c r="N198" s="37">
        <f ca="1" t="shared" ref="N198:N261" si="19">(TODAY()-H198)/30</f>
        <v>14.4333333333333</v>
      </c>
      <c r="O198" s="71">
        <v>46388</v>
      </c>
      <c r="P198" s="65">
        <f t="shared" si="18"/>
        <v>543.49</v>
      </c>
      <c r="Q198" s="57" t="s">
        <v>84</v>
      </c>
      <c r="R198" s="82" t="s">
        <v>349</v>
      </c>
      <c r="S198" s="58" t="s">
        <v>55</v>
      </c>
      <c r="T198" s="58" t="s">
        <v>86</v>
      </c>
    </row>
    <row r="199" ht="43.2" spans="1:20">
      <c r="A199" s="30">
        <v>168</v>
      </c>
      <c r="B199" s="31" t="s">
        <v>28</v>
      </c>
      <c r="C199" s="31" t="s">
        <v>29</v>
      </c>
      <c r="D199" s="30" t="s">
        <v>57</v>
      </c>
      <c r="E199" s="33" t="s">
        <v>31</v>
      </c>
      <c r="F199" s="109" t="s">
        <v>236</v>
      </c>
      <c r="G199" s="35" t="s">
        <v>82</v>
      </c>
      <c r="H199" s="35">
        <v>45819</v>
      </c>
      <c r="I199" s="30">
        <v>0</v>
      </c>
      <c r="J199" s="30">
        <v>7661</v>
      </c>
      <c r="K199" s="32" t="s">
        <v>34</v>
      </c>
      <c r="L199" s="30">
        <v>0</v>
      </c>
      <c r="M199" s="30" t="s">
        <v>79</v>
      </c>
      <c r="N199" s="37">
        <f ca="1" t="shared" si="19"/>
        <v>14.4333333333333</v>
      </c>
      <c r="O199" s="32" t="s">
        <v>179</v>
      </c>
      <c r="P199" s="30">
        <f t="shared" si="18"/>
        <v>7661</v>
      </c>
      <c r="Q199" s="31" t="s">
        <v>180</v>
      </c>
      <c r="R199" s="30" t="s">
        <v>350</v>
      </c>
      <c r="S199" s="39" t="s">
        <v>38</v>
      </c>
      <c r="T199" s="77"/>
    </row>
    <row r="200" ht="43.2" spans="1:20">
      <c r="A200" s="65">
        <v>173</v>
      </c>
      <c r="B200" s="79" t="s">
        <v>28</v>
      </c>
      <c r="C200" s="79" t="s">
        <v>29</v>
      </c>
      <c r="D200" s="82" t="s">
        <v>57</v>
      </c>
      <c r="E200" s="67" t="s">
        <v>31</v>
      </c>
      <c r="F200" s="57" t="s">
        <v>236</v>
      </c>
      <c r="G200" s="68" t="s">
        <v>82</v>
      </c>
      <c r="H200" s="68">
        <v>45819</v>
      </c>
      <c r="I200" s="65">
        <v>0</v>
      </c>
      <c r="J200" s="82">
        <v>7661</v>
      </c>
      <c r="K200" s="70" t="s">
        <v>34</v>
      </c>
      <c r="L200" s="65">
        <v>0</v>
      </c>
      <c r="M200" s="82" t="s">
        <v>79</v>
      </c>
      <c r="N200" s="37">
        <f ca="1" t="shared" si="19"/>
        <v>14.4333333333333</v>
      </c>
      <c r="O200" s="70" t="s">
        <v>179</v>
      </c>
      <c r="P200" s="65">
        <f t="shared" si="18"/>
        <v>7661</v>
      </c>
      <c r="Q200" s="66" t="s">
        <v>180</v>
      </c>
      <c r="R200" s="82" t="s">
        <v>351</v>
      </c>
      <c r="S200" s="58" t="s">
        <v>55</v>
      </c>
      <c r="T200" s="5"/>
    </row>
    <row r="201" ht="43.2" spans="1:20">
      <c r="A201" s="65">
        <v>176</v>
      </c>
      <c r="B201" s="79" t="s">
        <v>28</v>
      </c>
      <c r="C201" s="79" t="s">
        <v>29</v>
      </c>
      <c r="D201" s="82" t="s">
        <v>57</v>
      </c>
      <c r="E201" s="67" t="s">
        <v>31</v>
      </c>
      <c r="F201" s="57" t="s">
        <v>236</v>
      </c>
      <c r="G201" s="68" t="s">
        <v>82</v>
      </c>
      <c r="H201" s="68">
        <v>45819</v>
      </c>
      <c r="I201" s="65">
        <v>0</v>
      </c>
      <c r="J201" s="82">
        <v>7661</v>
      </c>
      <c r="K201" s="70" t="s">
        <v>34</v>
      </c>
      <c r="L201" s="65">
        <v>0</v>
      </c>
      <c r="M201" s="82" t="s">
        <v>35</v>
      </c>
      <c r="N201" s="37">
        <f ca="1" t="shared" si="19"/>
        <v>14.4333333333333</v>
      </c>
      <c r="O201" s="70" t="s">
        <v>179</v>
      </c>
      <c r="P201" s="65">
        <f t="shared" si="18"/>
        <v>7661</v>
      </c>
      <c r="Q201" s="66" t="s">
        <v>180</v>
      </c>
      <c r="R201" s="82" t="s">
        <v>352</v>
      </c>
      <c r="S201" s="58" t="s">
        <v>55</v>
      </c>
      <c r="T201" s="5"/>
    </row>
    <row r="202" ht="43.2" spans="1:20">
      <c r="A202" s="65">
        <v>183</v>
      </c>
      <c r="B202" s="79" t="s">
        <v>28</v>
      </c>
      <c r="C202" s="79" t="s">
        <v>29</v>
      </c>
      <c r="D202" s="82" t="s">
        <v>57</v>
      </c>
      <c r="E202" s="67" t="s">
        <v>31</v>
      </c>
      <c r="F202" s="57" t="s">
        <v>236</v>
      </c>
      <c r="G202" s="68" t="s">
        <v>82</v>
      </c>
      <c r="H202" s="68">
        <v>45819</v>
      </c>
      <c r="I202" s="65">
        <v>0</v>
      </c>
      <c r="J202" s="82">
        <v>7661</v>
      </c>
      <c r="K202" s="70" t="s">
        <v>34</v>
      </c>
      <c r="L202" s="65">
        <v>0</v>
      </c>
      <c r="M202" s="82" t="s">
        <v>35</v>
      </c>
      <c r="N202" s="37">
        <f ca="1" t="shared" si="19"/>
        <v>14.4333333333333</v>
      </c>
      <c r="O202" s="70" t="s">
        <v>179</v>
      </c>
      <c r="P202" s="65">
        <f t="shared" si="18"/>
        <v>7661</v>
      </c>
      <c r="Q202" s="66" t="s">
        <v>180</v>
      </c>
      <c r="R202" s="82" t="s">
        <v>353</v>
      </c>
      <c r="S202" s="58" t="s">
        <v>55</v>
      </c>
      <c r="T202" s="5"/>
    </row>
    <row r="203" ht="43.2" spans="1:20">
      <c r="A203" s="65">
        <v>178</v>
      </c>
      <c r="B203" s="79" t="s">
        <v>28</v>
      </c>
      <c r="C203" s="79" t="s">
        <v>93</v>
      </c>
      <c r="D203" s="82" t="s">
        <v>76</v>
      </c>
      <c r="E203" s="67" t="s">
        <v>31</v>
      </c>
      <c r="F203" s="57" t="s">
        <v>354</v>
      </c>
      <c r="G203" s="68" t="s">
        <v>355</v>
      </c>
      <c r="H203" s="68">
        <v>45821</v>
      </c>
      <c r="I203" s="65">
        <v>0</v>
      </c>
      <c r="J203" s="82">
        <v>47500</v>
      </c>
      <c r="K203" s="70" t="s">
        <v>83</v>
      </c>
      <c r="L203" s="65">
        <f>J203</f>
        <v>47500</v>
      </c>
      <c r="M203" s="82" t="s">
        <v>35</v>
      </c>
      <c r="N203" s="37">
        <f ca="1" t="shared" si="19"/>
        <v>14.3666666666667</v>
      </c>
      <c r="O203" s="71">
        <v>46508</v>
      </c>
      <c r="P203" s="65">
        <f t="shared" si="18"/>
        <v>47500</v>
      </c>
      <c r="Q203" s="57" t="s">
        <v>84</v>
      </c>
      <c r="R203" s="82" t="s">
        <v>356</v>
      </c>
      <c r="S203" s="58" t="s">
        <v>55</v>
      </c>
      <c r="T203" s="58" t="s">
        <v>86</v>
      </c>
    </row>
    <row r="204" ht="43.2" spans="1:20">
      <c r="A204" s="65">
        <v>179</v>
      </c>
      <c r="B204" s="79" t="s">
        <v>28</v>
      </c>
      <c r="C204" s="79" t="s">
        <v>29</v>
      </c>
      <c r="D204" s="82" t="s">
        <v>76</v>
      </c>
      <c r="E204" s="67" t="s">
        <v>31</v>
      </c>
      <c r="F204" s="57" t="s">
        <v>81</v>
      </c>
      <c r="G204" s="68" t="s">
        <v>82</v>
      </c>
      <c r="H204" s="68">
        <v>45826</v>
      </c>
      <c r="I204" s="65">
        <v>0</v>
      </c>
      <c r="J204" s="82">
        <v>2904</v>
      </c>
      <c r="K204" s="70" t="s">
        <v>83</v>
      </c>
      <c r="L204" s="65">
        <f>J204</f>
        <v>2904</v>
      </c>
      <c r="M204" s="82" t="s">
        <v>42</v>
      </c>
      <c r="N204" s="37">
        <f ca="1" t="shared" si="19"/>
        <v>14.2</v>
      </c>
      <c r="O204" s="71">
        <v>46388</v>
      </c>
      <c r="P204" s="65">
        <f t="shared" si="18"/>
        <v>2904</v>
      </c>
      <c r="Q204" s="57" t="s">
        <v>84</v>
      </c>
      <c r="R204" s="82" t="s">
        <v>357</v>
      </c>
      <c r="S204" s="58" t="s">
        <v>55</v>
      </c>
      <c r="T204" s="58" t="s">
        <v>86</v>
      </c>
    </row>
    <row r="205" ht="43.2" spans="1:20">
      <c r="A205" s="65">
        <v>184</v>
      </c>
      <c r="B205" s="79" t="s">
        <v>28</v>
      </c>
      <c r="C205" s="79" t="s">
        <v>93</v>
      </c>
      <c r="D205" s="82" t="s">
        <v>57</v>
      </c>
      <c r="E205" s="67" t="s">
        <v>31</v>
      </c>
      <c r="F205" s="57" t="s">
        <v>94</v>
      </c>
      <c r="G205" s="68" t="s">
        <v>95</v>
      </c>
      <c r="H205" s="68">
        <v>45828</v>
      </c>
      <c r="I205" s="65">
        <v>0</v>
      </c>
      <c r="J205" s="82">
        <v>1107.88</v>
      </c>
      <c r="K205" s="70" t="s">
        <v>83</v>
      </c>
      <c r="L205" s="65">
        <f>J205</f>
        <v>1107.88</v>
      </c>
      <c r="M205" s="82" t="s">
        <v>42</v>
      </c>
      <c r="N205" s="37">
        <f ca="1" t="shared" si="19"/>
        <v>14.1333333333333</v>
      </c>
      <c r="O205" s="71">
        <v>46419</v>
      </c>
      <c r="P205" s="65">
        <f t="shared" si="18"/>
        <v>1107.88</v>
      </c>
      <c r="Q205" s="57" t="s">
        <v>84</v>
      </c>
      <c r="R205" s="82" t="s">
        <v>358</v>
      </c>
      <c r="S205" s="58" t="s">
        <v>55</v>
      </c>
      <c r="T205" s="58" t="s">
        <v>86</v>
      </c>
    </row>
    <row r="206" ht="43.2" spans="1:20">
      <c r="A206" s="65">
        <v>564</v>
      </c>
      <c r="B206" s="66" t="s">
        <v>28</v>
      </c>
      <c r="C206" s="79" t="s">
        <v>93</v>
      </c>
      <c r="D206" s="79" t="s">
        <v>142</v>
      </c>
      <c r="E206" s="67">
        <v>950000</v>
      </c>
      <c r="F206" s="67" t="s">
        <v>359</v>
      </c>
      <c r="G206" s="76" t="s">
        <v>360</v>
      </c>
      <c r="H206" s="76">
        <v>45828</v>
      </c>
      <c r="I206" s="65"/>
      <c r="J206" s="82">
        <v>47500</v>
      </c>
      <c r="K206" s="70"/>
      <c r="L206" s="65"/>
      <c r="M206" s="84" t="s">
        <v>361</v>
      </c>
      <c r="N206" s="37">
        <f ca="1" t="shared" si="19"/>
        <v>14.1333333333333</v>
      </c>
      <c r="O206" s="71">
        <v>46508</v>
      </c>
      <c r="P206" s="65">
        <v>47500</v>
      </c>
      <c r="Q206" s="66" t="s">
        <v>362</v>
      </c>
      <c r="R206" s="82" t="s">
        <v>363</v>
      </c>
      <c r="S206" s="5"/>
      <c r="T206" t="s">
        <v>86</v>
      </c>
    </row>
    <row r="207" ht="43.2" spans="1:20">
      <c r="A207" s="65">
        <v>167</v>
      </c>
      <c r="B207" s="79" t="s">
        <v>28</v>
      </c>
      <c r="C207" s="79" t="s">
        <v>29</v>
      </c>
      <c r="D207" s="82" t="s">
        <v>76</v>
      </c>
      <c r="E207" s="67" t="s">
        <v>31</v>
      </c>
      <c r="F207" s="57" t="s">
        <v>81</v>
      </c>
      <c r="G207" s="68" t="s">
        <v>82</v>
      </c>
      <c r="H207" s="68">
        <v>45828</v>
      </c>
      <c r="I207" s="65">
        <v>0</v>
      </c>
      <c r="J207" s="82">
        <v>6292</v>
      </c>
      <c r="K207" s="70" t="s">
        <v>83</v>
      </c>
      <c r="L207" s="65">
        <f>J207</f>
        <v>6292</v>
      </c>
      <c r="M207" s="82" t="s">
        <v>97</v>
      </c>
      <c r="N207" s="37">
        <f ca="1" t="shared" si="19"/>
        <v>14.1333333333333</v>
      </c>
      <c r="O207" s="71">
        <v>46388</v>
      </c>
      <c r="P207" s="65">
        <f>J207</f>
        <v>6292</v>
      </c>
      <c r="Q207" s="57" t="s">
        <v>84</v>
      </c>
      <c r="R207" s="82" t="s">
        <v>364</v>
      </c>
      <c r="S207" s="58" t="s">
        <v>55</v>
      </c>
      <c r="T207" s="58" t="s">
        <v>86</v>
      </c>
    </row>
    <row r="208" ht="43.2" spans="1:20">
      <c r="A208" s="65">
        <v>191</v>
      </c>
      <c r="B208" s="79" t="s">
        <v>28</v>
      </c>
      <c r="C208" s="79" t="s">
        <v>29</v>
      </c>
      <c r="D208" s="82" t="s">
        <v>76</v>
      </c>
      <c r="E208" s="67" t="s">
        <v>31</v>
      </c>
      <c r="F208" s="57" t="s">
        <v>32</v>
      </c>
      <c r="G208" s="68" t="s">
        <v>33</v>
      </c>
      <c r="H208" s="68">
        <v>45834</v>
      </c>
      <c r="I208" s="65">
        <v>0</v>
      </c>
      <c r="J208" s="82">
        <v>7216</v>
      </c>
      <c r="K208" s="70" t="s">
        <v>83</v>
      </c>
      <c r="L208" s="65">
        <f>J208</f>
        <v>7216</v>
      </c>
      <c r="M208" s="82" t="s">
        <v>79</v>
      </c>
      <c r="N208" s="37">
        <f ca="1" t="shared" si="19"/>
        <v>13.9333333333333</v>
      </c>
      <c r="O208" s="71">
        <v>46419</v>
      </c>
      <c r="P208" s="65">
        <f>J208</f>
        <v>7216</v>
      </c>
      <c r="Q208" s="57" t="s">
        <v>84</v>
      </c>
      <c r="R208" s="82" t="s">
        <v>365</v>
      </c>
      <c r="S208" s="58" t="s">
        <v>55</v>
      </c>
      <c r="T208" s="5" t="s">
        <v>86</v>
      </c>
    </row>
    <row r="209" ht="43.2" spans="1:20">
      <c r="A209" s="65">
        <v>195</v>
      </c>
      <c r="B209" s="79" t="s">
        <v>28</v>
      </c>
      <c r="C209" s="79" t="s">
        <v>49</v>
      </c>
      <c r="D209" s="82" t="s">
        <v>57</v>
      </c>
      <c r="E209" s="67" t="s">
        <v>31</v>
      </c>
      <c r="F209" s="57" t="s">
        <v>366</v>
      </c>
      <c r="G209" s="83" t="s">
        <v>367</v>
      </c>
      <c r="H209" s="68">
        <v>45840</v>
      </c>
      <c r="I209" s="65">
        <v>0</v>
      </c>
      <c r="J209" s="82">
        <v>7661</v>
      </c>
      <c r="K209" s="70" t="s">
        <v>34</v>
      </c>
      <c r="L209" s="65">
        <v>0</v>
      </c>
      <c r="M209" s="82" t="s">
        <v>97</v>
      </c>
      <c r="N209" s="37">
        <f ca="1" t="shared" si="19"/>
        <v>13.7333333333333</v>
      </c>
      <c r="O209" s="71">
        <v>46266</v>
      </c>
      <c r="P209" s="65">
        <f>J209</f>
        <v>7661</v>
      </c>
      <c r="Q209" s="66" t="s">
        <v>133</v>
      </c>
      <c r="R209" s="82" t="s">
        <v>368</v>
      </c>
      <c r="S209" s="58" t="s">
        <v>55</v>
      </c>
      <c r="T209" s="5"/>
    </row>
    <row r="210" ht="43.2" spans="1:20">
      <c r="A210" s="30">
        <v>186</v>
      </c>
      <c r="B210" s="31" t="s">
        <v>28</v>
      </c>
      <c r="C210" s="31" t="s">
        <v>49</v>
      </c>
      <c r="D210" s="30" t="s">
        <v>168</v>
      </c>
      <c r="E210" s="34" t="s">
        <v>31</v>
      </c>
      <c r="F210" s="32" t="s">
        <v>282</v>
      </c>
      <c r="G210" s="106" t="s">
        <v>200</v>
      </c>
      <c r="H210" s="35">
        <v>45846</v>
      </c>
      <c r="I210" s="30">
        <v>0</v>
      </c>
      <c r="J210" s="30">
        <v>4215</v>
      </c>
      <c r="K210" s="32" t="s">
        <v>34</v>
      </c>
      <c r="L210" s="30">
        <v>0</v>
      </c>
      <c r="M210" s="30" t="s">
        <v>42</v>
      </c>
      <c r="N210" s="37">
        <f ca="1" t="shared" si="19"/>
        <v>13.5333333333333</v>
      </c>
      <c r="O210" s="61">
        <v>46266</v>
      </c>
      <c r="P210" s="30">
        <f>J210</f>
        <v>4215</v>
      </c>
      <c r="Q210" s="31" t="s">
        <v>201</v>
      </c>
      <c r="R210" s="30" t="s">
        <v>369</v>
      </c>
      <c r="S210" s="39" t="s">
        <v>38</v>
      </c>
      <c r="T210" s="77"/>
    </row>
    <row r="211" ht="43.2" spans="1:20">
      <c r="A211" s="30">
        <v>187</v>
      </c>
      <c r="B211" s="31" t="s">
        <v>28</v>
      </c>
      <c r="C211" s="31" t="s">
        <v>49</v>
      </c>
      <c r="D211" s="30" t="s">
        <v>168</v>
      </c>
      <c r="E211" s="34" t="s">
        <v>31</v>
      </c>
      <c r="F211" s="32" t="s">
        <v>282</v>
      </c>
      <c r="G211" s="106" t="s">
        <v>200</v>
      </c>
      <c r="H211" s="35">
        <v>45846</v>
      </c>
      <c r="I211" s="30">
        <v>0</v>
      </c>
      <c r="J211" s="30">
        <v>4215</v>
      </c>
      <c r="K211" s="32" t="s">
        <v>34</v>
      </c>
      <c r="L211" s="30">
        <v>0</v>
      </c>
      <c r="M211" s="30" t="s">
        <v>42</v>
      </c>
      <c r="N211" s="37">
        <f ca="1" t="shared" si="19"/>
        <v>13.5333333333333</v>
      </c>
      <c r="O211" s="61">
        <v>46266</v>
      </c>
      <c r="P211" s="30">
        <f>J211</f>
        <v>4215</v>
      </c>
      <c r="Q211" s="31" t="s">
        <v>201</v>
      </c>
      <c r="R211" s="30" t="s">
        <v>370</v>
      </c>
      <c r="S211" s="39" t="s">
        <v>38</v>
      </c>
      <c r="T211" s="77"/>
    </row>
    <row r="212" ht="43.2" spans="1:20">
      <c r="A212" s="65">
        <v>565</v>
      </c>
      <c r="B212" s="79" t="s">
        <v>28</v>
      </c>
      <c r="C212" s="79" t="s">
        <v>49</v>
      </c>
      <c r="D212" s="79" t="s">
        <v>168</v>
      </c>
      <c r="E212" s="67">
        <v>598000</v>
      </c>
      <c r="F212" s="67" t="s">
        <v>199</v>
      </c>
      <c r="G212" s="80" t="s">
        <v>200</v>
      </c>
      <c r="H212" s="76">
        <v>45846</v>
      </c>
      <c r="I212" s="65"/>
      <c r="J212" s="82">
        <v>4215</v>
      </c>
      <c r="K212" s="70"/>
      <c r="L212" s="65"/>
      <c r="M212" s="82" t="s">
        <v>42</v>
      </c>
      <c r="N212" s="37">
        <f ca="1" t="shared" si="19"/>
        <v>13.5333333333333</v>
      </c>
      <c r="O212" s="70"/>
      <c r="P212" s="65">
        <v>4215</v>
      </c>
      <c r="Q212" s="66" t="s">
        <v>205</v>
      </c>
      <c r="R212" s="82" t="s">
        <v>371</v>
      </c>
      <c r="S212" s="5"/>
    </row>
    <row r="213" ht="43.2" spans="1:20">
      <c r="A213" s="65">
        <v>188</v>
      </c>
      <c r="B213" s="79" t="s">
        <v>28</v>
      </c>
      <c r="C213" s="79" t="s">
        <v>93</v>
      </c>
      <c r="D213" s="82" t="s">
        <v>57</v>
      </c>
      <c r="E213" s="67" t="s">
        <v>31</v>
      </c>
      <c r="F213" s="57" t="s">
        <v>94</v>
      </c>
      <c r="G213" s="68" t="s">
        <v>95</v>
      </c>
      <c r="H213" s="68">
        <v>45846</v>
      </c>
      <c r="I213" s="65">
        <v>0</v>
      </c>
      <c r="J213" s="82">
        <v>1107.88</v>
      </c>
      <c r="K213" s="70" t="s">
        <v>83</v>
      </c>
      <c r="L213" s="65">
        <f>J213</f>
        <v>1107.88</v>
      </c>
      <c r="M213" s="82" t="s">
        <v>97</v>
      </c>
      <c r="N213" s="37">
        <f ca="1" t="shared" si="19"/>
        <v>13.5333333333333</v>
      </c>
      <c r="O213" s="71">
        <v>46419</v>
      </c>
      <c r="P213" s="65">
        <f t="shared" ref="P213:P223" si="20">J213</f>
        <v>1107.88</v>
      </c>
      <c r="Q213" s="57" t="s">
        <v>84</v>
      </c>
      <c r="R213" s="82" t="s">
        <v>372</v>
      </c>
      <c r="S213" s="58" t="s">
        <v>55</v>
      </c>
      <c r="T213" s="58" t="s">
        <v>86</v>
      </c>
    </row>
    <row r="214" ht="43.2" spans="1:20">
      <c r="A214" s="65">
        <v>200</v>
      </c>
      <c r="B214" s="79" t="s">
        <v>28</v>
      </c>
      <c r="C214" s="79" t="s">
        <v>29</v>
      </c>
      <c r="D214" s="82" t="s">
        <v>76</v>
      </c>
      <c r="E214" s="67" t="s">
        <v>31</v>
      </c>
      <c r="F214" s="57" t="s">
        <v>81</v>
      </c>
      <c r="G214" s="68" t="s">
        <v>82</v>
      </c>
      <c r="H214" s="68">
        <v>45847</v>
      </c>
      <c r="I214" s="65">
        <v>0</v>
      </c>
      <c r="J214" s="82">
        <v>2574</v>
      </c>
      <c r="K214" s="70" t="s">
        <v>83</v>
      </c>
      <c r="L214" s="65">
        <f>J214</f>
        <v>2574</v>
      </c>
      <c r="M214" s="82" t="s">
        <v>79</v>
      </c>
      <c r="N214" s="37">
        <f ca="1" t="shared" si="19"/>
        <v>13.5</v>
      </c>
      <c r="O214" s="71">
        <v>46419</v>
      </c>
      <c r="P214" s="65">
        <f t="shared" si="20"/>
        <v>2574</v>
      </c>
      <c r="Q214" s="57" t="s">
        <v>84</v>
      </c>
      <c r="R214" s="82" t="s">
        <v>373</v>
      </c>
      <c r="S214" s="58" t="s">
        <v>55</v>
      </c>
      <c r="T214" s="58" t="s">
        <v>86</v>
      </c>
    </row>
    <row r="215" ht="43.2" spans="1:20">
      <c r="A215" s="65">
        <v>196</v>
      </c>
      <c r="B215" s="79" t="s">
        <v>28</v>
      </c>
      <c r="C215" s="79" t="s">
        <v>29</v>
      </c>
      <c r="D215" s="82" t="s">
        <v>57</v>
      </c>
      <c r="E215" s="67" t="s">
        <v>31</v>
      </c>
      <c r="F215" s="57" t="s">
        <v>236</v>
      </c>
      <c r="G215" s="68" t="s">
        <v>82</v>
      </c>
      <c r="H215" s="68">
        <v>45853</v>
      </c>
      <c r="I215" s="65">
        <v>0</v>
      </c>
      <c r="J215" s="82">
        <v>9920</v>
      </c>
      <c r="K215" s="70" t="s">
        <v>34</v>
      </c>
      <c r="L215" s="65">
        <v>0</v>
      </c>
      <c r="M215" s="82" t="s">
        <v>79</v>
      </c>
      <c r="N215" s="37">
        <f ca="1" t="shared" si="19"/>
        <v>13.3</v>
      </c>
      <c r="O215" s="70" t="s">
        <v>179</v>
      </c>
      <c r="P215" s="65">
        <f t="shared" si="20"/>
        <v>9920</v>
      </c>
      <c r="Q215" s="66" t="s">
        <v>180</v>
      </c>
      <c r="R215" s="82" t="s">
        <v>374</v>
      </c>
      <c r="S215" s="58" t="s">
        <v>55</v>
      </c>
      <c r="T215" s="5"/>
    </row>
    <row r="216" ht="43.2" spans="1:20">
      <c r="A216" s="30">
        <v>192</v>
      </c>
      <c r="B216" s="31" t="s">
        <v>28</v>
      </c>
      <c r="C216" s="31" t="s">
        <v>29</v>
      </c>
      <c r="D216" s="30" t="s">
        <v>57</v>
      </c>
      <c r="E216" s="33" t="s">
        <v>31</v>
      </c>
      <c r="F216" s="34" t="s">
        <v>236</v>
      </c>
      <c r="G216" s="35" t="s">
        <v>82</v>
      </c>
      <c r="H216" s="35">
        <v>45854</v>
      </c>
      <c r="I216" s="30">
        <v>0</v>
      </c>
      <c r="J216" s="30">
        <v>13067</v>
      </c>
      <c r="K216" s="32" t="s">
        <v>34</v>
      </c>
      <c r="L216" s="30">
        <v>0</v>
      </c>
      <c r="M216" s="30" t="s">
        <v>47</v>
      </c>
      <c r="N216" s="37">
        <f ca="1" t="shared" si="19"/>
        <v>13.2666666666667</v>
      </c>
      <c r="O216" s="32" t="s">
        <v>179</v>
      </c>
      <c r="P216" s="30">
        <f t="shared" si="20"/>
        <v>13067</v>
      </c>
      <c r="Q216" s="31" t="s">
        <v>180</v>
      </c>
      <c r="R216" s="30" t="s">
        <v>375</v>
      </c>
      <c r="S216" s="39" t="s">
        <v>38</v>
      </c>
      <c r="T216" s="77"/>
    </row>
    <row r="217" ht="43.2" spans="1:20">
      <c r="A217" s="30">
        <v>193</v>
      </c>
      <c r="B217" s="31" t="s">
        <v>28</v>
      </c>
      <c r="C217" s="31" t="s">
        <v>29</v>
      </c>
      <c r="D217" s="30" t="s">
        <v>57</v>
      </c>
      <c r="E217" s="33" t="s">
        <v>31</v>
      </c>
      <c r="F217" s="34" t="s">
        <v>236</v>
      </c>
      <c r="G217" s="35" t="s">
        <v>82</v>
      </c>
      <c r="H217" s="35">
        <v>45855</v>
      </c>
      <c r="I217" s="30">
        <v>0</v>
      </c>
      <c r="J217" s="30">
        <v>10939</v>
      </c>
      <c r="K217" s="32" t="s">
        <v>34</v>
      </c>
      <c r="L217" s="30">
        <v>0</v>
      </c>
      <c r="M217" s="30" t="s">
        <v>42</v>
      </c>
      <c r="N217" s="37">
        <f ca="1" t="shared" si="19"/>
        <v>13.2333333333333</v>
      </c>
      <c r="O217" s="32" t="s">
        <v>179</v>
      </c>
      <c r="P217" s="30">
        <f t="shared" si="20"/>
        <v>10939</v>
      </c>
      <c r="Q217" s="31" t="s">
        <v>180</v>
      </c>
      <c r="R217" s="30" t="s">
        <v>376</v>
      </c>
      <c r="S217" s="39" t="s">
        <v>38</v>
      </c>
      <c r="T217" s="77"/>
    </row>
    <row r="218" ht="43.2" spans="1:20">
      <c r="A218" s="65">
        <v>201</v>
      </c>
      <c r="B218" s="79" t="s">
        <v>28</v>
      </c>
      <c r="C218" s="79" t="s">
        <v>29</v>
      </c>
      <c r="D218" s="82" t="s">
        <v>57</v>
      </c>
      <c r="E218" s="67" t="s">
        <v>31</v>
      </c>
      <c r="F218" s="57" t="s">
        <v>236</v>
      </c>
      <c r="G218" s="68" t="s">
        <v>82</v>
      </c>
      <c r="H218" s="68">
        <v>45855</v>
      </c>
      <c r="I218" s="65">
        <v>0</v>
      </c>
      <c r="J218" s="82">
        <v>10284</v>
      </c>
      <c r="K218" s="70" t="s">
        <v>34</v>
      </c>
      <c r="L218" s="65">
        <v>0</v>
      </c>
      <c r="M218" s="82" t="s">
        <v>42</v>
      </c>
      <c r="N218" s="37">
        <f ca="1" t="shared" si="19"/>
        <v>13.2333333333333</v>
      </c>
      <c r="O218" s="70" t="s">
        <v>179</v>
      </c>
      <c r="P218" s="65">
        <f t="shared" si="20"/>
        <v>10284</v>
      </c>
      <c r="Q218" s="66" t="s">
        <v>180</v>
      </c>
      <c r="R218" s="82" t="s">
        <v>377</v>
      </c>
      <c r="S218" s="58" t="s">
        <v>55</v>
      </c>
      <c r="T218" s="5"/>
    </row>
    <row r="219" ht="57.6" spans="1:20">
      <c r="A219" s="41">
        <v>190</v>
      </c>
      <c r="B219" s="42" t="s">
        <v>28</v>
      </c>
      <c r="C219" s="42" t="s">
        <v>378</v>
      </c>
      <c r="D219" s="41" t="s">
        <v>76</v>
      </c>
      <c r="E219" s="165" t="s">
        <v>41</v>
      </c>
      <c r="F219" s="174" t="s">
        <v>41</v>
      </c>
      <c r="G219" s="166" t="s">
        <v>41</v>
      </c>
      <c r="H219" s="74">
        <v>45859</v>
      </c>
      <c r="I219" s="41">
        <v>0</v>
      </c>
      <c r="J219" s="41">
        <v>7480</v>
      </c>
      <c r="K219" s="43" t="s">
        <v>34</v>
      </c>
      <c r="L219" s="41">
        <v>0</v>
      </c>
      <c r="M219" s="41" t="s">
        <v>58</v>
      </c>
      <c r="N219" s="37">
        <f ca="1" t="shared" si="19"/>
        <v>13.1</v>
      </c>
      <c r="O219" s="47">
        <v>46266</v>
      </c>
      <c r="P219" s="41">
        <f t="shared" si="20"/>
        <v>7480</v>
      </c>
      <c r="Q219" s="63" t="s">
        <v>185</v>
      </c>
      <c r="R219" s="41" t="s">
        <v>379</v>
      </c>
      <c r="S219" s="48" t="s">
        <v>45</v>
      </c>
      <c r="T219" s="50"/>
    </row>
    <row r="220" ht="72" spans="1:20">
      <c r="A220" s="41">
        <v>202</v>
      </c>
      <c r="B220" s="42" t="s">
        <v>28</v>
      </c>
      <c r="C220" s="42" t="s">
        <v>380</v>
      </c>
      <c r="D220" s="41" t="s">
        <v>57</v>
      </c>
      <c r="E220" s="165" t="s">
        <v>41</v>
      </c>
      <c r="F220" s="174" t="s">
        <v>41</v>
      </c>
      <c r="G220" s="166" t="s">
        <v>41</v>
      </c>
      <c r="H220" s="74">
        <v>45860</v>
      </c>
      <c r="I220" s="41">
        <v>0</v>
      </c>
      <c r="J220" s="41">
        <v>10054</v>
      </c>
      <c r="K220" s="43" t="s">
        <v>34</v>
      </c>
      <c r="L220" s="41">
        <v>0</v>
      </c>
      <c r="M220" s="41" t="s">
        <v>35</v>
      </c>
      <c r="N220" s="37">
        <f ca="1" t="shared" si="19"/>
        <v>13.0666666666667</v>
      </c>
      <c r="O220" s="47">
        <v>46266</v>
      </c>
      <c r="P220" s="41">
        <f t="shared" si="20"/>
        <v>10054</v>
      </c>
      <c r="Q220" s="63" t="s">
        <v>185</v>
      </c>
      <c r="R220" s="41" t="s">
        <v>381</v>
      </c>
      <c r="S220" s="48" t="s">
        <v>45</v>
      </c>
      <c r="T220" s="50"/>
    </row>
    <row r="221" ht="43.2" spans="1:20">
      <c r="A221" s="65">
        <v>197</v>
      </c>
      <c r="B221" s="79" t="s">
        <v>28</v>
      </c>
      <c r="C221" s="79" t="s">
        <v>29</v>
      </c>
      <c r="D221" s="82" t="s">
        <v>57</v>
      </c>
      <c r="E221" s="67" t="s">
        <v>31</v>
      </c>
      <c r="F221" s="57" t="s">
        <v>236</v>
      </c>
      <c r="G221" s="68" t="s">
        <v>82</v>
      </c>
      <c r="H221" s="68">
        <v>45860</v>
      </c>
      <c r="I221" s="65">
        <v>0</v>
      </c>
      <c r="J221" s="82">
        <v>22033.7</v>
      </c>
      <c r="K221" s="70" t="s">
        <v>34</v>
      </c>
      <c r="L221" s="65">
        <v>0</v>
      </c>
      <c r="M221" s="82" t="s">
        <v>42</v>
      </c>
      <c r="N221" s="37">
        <f ca="1" t="shared" si="19"/>
        <v>13.0666666666667</v>
      </c>
      <c r="O221" s="70" t="s">
        <v>179</v>
      </c>
      <c r="P221" s="65">
        <f t="shared" si="20"/>
        <v>22033.7</v>
      </c>
      <c r="Q221" s="66" t="s">
        <v>180</v>
      </c>
      <c r="R221" s="82" t="s">
        <v>382</v>
      </c>
      <c r="S221" s="58" t="s">
        <v>55</v>
      </c>
      <c r="T221" s="5"/>
    </row>
    <row r="222" ht="43.2" spans="1:20">
      <c r="A222" s="65">
        <v>199</v>
      </c>
      <c r="B222" s="79" t="s">
        <v>28</v>
      </c>
      <c r="C222" s="79" t="s">
        <v>29</v>
      </c>
      <c r="D222" s="82" t="s">
        <v>57</v>
      </c>
      <c r="E222" s="67" t="s">
        <v>31</v>
      </c>
      <c r="F222" s="57" t="s">
        <v>236</v>
      </c>
      <c r="G222" s="68" t="s">
        <v>82</v>
      </c>
      <c r="H222" s="68">
        <v>45860</v>
      </c>
      <c r="I222" s="65">
        <v>0</v>
      </c>
      <c r="J222" s="82">
        <v>41363</v>
      </c>
      <c r="K222" s="70" t="s">
        <v>34</v>
      </c>
      <c r="L222" s="65">
        <v>0</v>
      </c>
      <c r="M222" s="82" t="s">
        <v>42</v>
      </c>
      <c r="N222" s="37">
        <f ca="1" t="shared" si="19"/>
        <v>13.0666666666667</v>
      </c>
      <c r="O222" s="70" t="s">
        <v>179</v>
      </c>
      <c r="P222" s="65">
        <f t="shared" si="20"/>
        <v>41363</v>
      </c>
      <c r="Q222" s="66" t="s">
        <v>180</v>
      </c>
      <c r="R222" s="82" t="s">
        <v>383</v>
      </c>
      <c r="S222" s="58" t="s">
        <v>55</v>
      </c>
      <c r="T222" s="5"/>
    </row>
    <row r="223" ht="43.2" spans="1:20">
      <c r="A223" s="65">
        <v>194</v>
      </c>
      <c r="B223" s="79" t="s">
        <v>28</v>
      </c>
      <c r="C223" s="79" t="s">
        <v>93</v>
      </c>
      <c r="D223" s="82" t="s">
        <v>384</v>
      </c>
      <c r="E223" s="67" t="s">
        <v>31</v>
      </c>
      <c r="F223" s="57" t="s">
        <v>94</v>
      </c>
      <c r="G223" s="68" t="s">
        <v>95</v>
      </c>
      <c r="H223" s="68">
        <v>45863</v>
      </c>
      <c r="I223" s="65">
        <v>0</v>
      </c>
      <c r="J223" s="82">
        <v>300.49</v>
      </c>
      <c r="K223" s="70" t="s">
        <v>83</v>
      </c>
      <c r="L223" s="65">
        <f>J223</f>
        <v>300.49</v>
      </c>
      <c r="M223" s="82" t="s">
        <v>79</v>
      </c>
      <c r="N223" s="37">
        <f ca="1" t="shared" si="19"/>
        <v>12.9666666666667</v>
      </c>
      <c r="O223" s="71">
        <v>46419</v>
      </c>
      <c r="P223" s="65">
        <f t="shared" si="20"/>
        <v>300.49</v>
      </c>
      <c r="Q223" s="57" t="s">
        <v>84</v>
      </c>
      <c r="R223" s="82" t="s">
        <v>385</v>
      </c>
      <c r="S223" s="58" t="s">
        <v>55</v>
      </c>
      <c r="T223" s="58" t="s">
        <v>86</v>
      </c>
    </row>
    <row r="224" ht="43.2" spans="1:20">
      <c r="A224" s="65">
        <v>517</v>
      </c>
      <c r="B224" s="79" t="s">
        <v>28</v>
      </c>
      <c r="C224" s="79" t="s">
        <v>29</v>
      </c>
      <c r="D224" s="82" t="s">
        <v>142</v>
      </c>
      <c r="E224" s="67" t="s">
        <v>31</v>
      </c>
      <c r="F224" s="110" t="s">
        <v>236</v>
      </c>
      <c r="G224" s="83" t="s">
        <v>82</v>
      </c>
      <c r="H224" s="76">
        <v>45866</v>
      </c>
      <c r="I224" s="65">
        <v>0</v>
      </c>
      <c r="J224" s="82">
        <v>179960</v>
      </c>
      <c r="K224" s="70" t="s">
        <v>34</v>
      </c>
      <c r="L224" s="65">
        <v>0</v>
      </c>
      <c r="M224" s="84" t="s">
        <v>97</v>
      </c>
      <c r="N224" s="37">
        <f ca="1" t="shared" si="19"/>
        <v>12.8666666666667</v>
      </c>
      <c r="O224" s="57" t="s">
        <v>52</v>
      </c>
      <c r="P224" s="65">
        <v>179960</v>
      </c>
      <c r="Q224" s="66" t="s">
        <v>205</v>
      </c>
      <c r="R224" s="82" t="s">
        <v>386</v>
      </c>
      <c r="S224" s="5" t="s">
        <v>103</v>
      </c>
    </row>
    <row r="225" ht="43.2" spans="1:20">
      <c r="A225" s="65">
        <v>485</v>
      </c>
      <c r="B225" s="79" t="s">
        <v>28</v>
      </c>
      <c r="C225" s="79" t="s">
        <v>49</v>
      </c>
      <c r="D225" s="82" t="s">
        <v>57</v>
      </c>
      <c r="E225" s="67" t="s">
        <v>31</v>
      </c>
      <c r="F225" s="67" t="s">
        <v>387</v>
      </c>
      <c r="G225" s="80" t="s">
        <v>388</v>
      </c>
      <c r="H225" s="76">
        <v>45874</v>
      </c>
      <c r="I225" s="65">
        <v>0</v>
      </c>
      <c r="J225" s="82">
        <v>7661</v>
      </c>
      <c r="K225" s="70" t="s">
        <v>34</v>
      </c>
      <c r="L225" s="65">
        <v>0</v>
      </c>
      <c r="M225" s="98" t="s">
        <v>42</v>
      </c>
      <c r="N225" s="37">
        <f ca="1" t="shared" si="19"/>
        <v>12.6</v>
      </c>
      <c r="O225" s="57" t="s">
        <v>52</v>
      </c>
      <c r="P225" s="65">
        <v>7661</v>
      </c>
      <c r="Q225" s="66" t="s">
        <v>201</v>
      </c>
      <c r="R225" s="82" t="s">
        <v>389</v>
      </c>
      <c r="S225" s="5"/>
      <c r="T225" t="s">
        <v>390</v>
      </c>
    </row>
    <row r="226" ht="43.2" spans="1:20">
      <c r="A226" s="65">
        <v>206</v>
      </c>
      <c r="B226" s="79" t="s">
        <v>28</v>
      </c>
      <c r="C226" s="79" t="s">
        <v>29</v>
      </c>
      <c r="D226" s="82" t="s">
        <v>57</v>
      </c>
      <c r="E226" s="67" t="s">
        <v>31</v>
      </c>
      <c r="F226" s="57" t="s">
        <v>236</v>
      </c>
      <c r="G226" s="68" t="s">
        <v>82</v>
      </c>
      <c r="H226" s="68">
        <v>45874</v>
      </c>
      <c r="I226" s="65">
        <v>0</v>
      </c>
      <c r="J226" s="82">
        <v>7661</v>
      </c>
      <c r="K226" s="70" t="s">
        <v>34</v>
      </c>
      <c r="L226" s="65">
        <v>0</v>
      </c>
      <c r="M226" s="82" t="s">
        <v>35</v>
      </c>
      <c r="N226" s="37">
        <f ca="1" t="shared" si="19"/>
        <v>12.6</v>
      </c>
      <c r="O226" s="70" t="s">
        <v>179</v>
      </c>
      <c r="P226" s="65">
        <f>J226</f>
        <v>7661</v>
      </c>
      <c r="Q226" s="66" t="s">
        <v>180</v>
      </c>
      <c r="R226" s="82" t="s">
        <v>391</v>
      </c>
      <c r="S226" s="58" t="s">
        <v>55</v>
      </c>
      <c r="T226" s="5"/>
    </row>
    <row r="227" ht="43.2" spans="1:20">
      <c r="A227" s="65">
        <v>486</v>
      </c>
      <c r="B227" s="79" t="s">
        <v>28</v>
      </c>
      <c r="C227" s="79" t="s">
        <v>49</v>
      </c>
      <c r="D227" s="82" t="s">
        <v>57</v>
      </c>
      <c r="E227" s="67" t="s">
        <v>31</v>
      </c>
      <c r="F227" s="67" t="s">
        <v>392</v>
      </c>
      <c r="G227" s="80" t="s">
        <v>222</v>
      </c>
      <c r="H227" s="76">
        <v>45876</v>
      </c>
      <c r="I227" s="65">
        <v>0</v>
      </c>
      <c r="J227" s="82">
        <v>12661</v>
      </c>
      <c r="K227" s="70" t="s">
        <v>34</v>
      </c>
      <c r="L227" s="65">
        <v>0</v>
      </c>
      <c r="M227" s="82" t="s">
        <v>79</v>
      </c>
      <c r="N227" s="37">
        <f ca="1" t="shared" si="19"/>
        <v>12.5333333333333</v>
      </c>
      <c r="O227" s="57" t="s">
        <v>52</v>
      </c>
      <c r="P227" s="65">
        <v>12661</v>
      </c>
      <c r="Q227" s="66" t="s">
        <v>201</v>
      </c>
      <c r="R227" s="82" t="s">
        <v>393</v>
      </c>
      <c r="S227" s="5"/>
      <c r="T227" t="s">
        <v>394</v>
      </c>
    </row>
    <row r="228" ht="86.4" spans="1:20">
      <c r="A228" s="30">
        <v>205</v>
      </c>
      <c r="B228" s="31" t="s">
        <v>28</v>
      </c>
      <c r="C228" s="31" t="s">
        <v>130</v>
      </c>
      <c r="D228" s="30" t="s">
        <v>76</v>
      </c>
      <c r="E228" s="167" t="s">
        <v>41</v>
      </c>
      <c r="F228" s="175" t="s">
        <v>41</v>
      </c>
      <c r="G228" s="168" t="s">
        <v>41</v>
      </c>
      <c r="H228" s="35">
        <v>45876</v>
      </c>
      <c r="I228" s="30">
        <v>0</v>
      </c>
      <c r="J228" s="30">
        <v>26400</v>
      </c>
      <c r="K228" s="32" t="s">
        <v>34</v>
      </c>
      <c r="L228" s="30">
        <v>0</v>
      </c>
      <c r="M228" s="30" t="s">
        <v>97</v>
      </c>
      <c r="N228" s="37">
        <f ca="1" t="shared" si="19"/>
        <v>12.5333333333333</v>
      </c>
      <c r="O228" s="61">
        <v>46266</v>
      </c>
      <c r="P228" s="30">
        <f>J228</f>
        <v>26400</v>
      </c>
      <c r="Q228" s="31" t="s">
        <v>131</v>
      </c>
      <c r="R228" s="30" t="s">
        <v>395</v>
      </c>
      <c r="S228" s="39" t="s">
        <v>38</v>
      </c>
      <c r="T228" s="77"/>
    </row>
    <row r="229" ht="43.2" spans="1:20">
      <c r="A229" s="65">
        <v>387</v>
      </c>
      <c r="B229" s="79" t="s">
        <v>28</v>
      </c>
      <c r="C229" s="79" t="s">
        <v>93</v>
      </c>
      <c r="D229" s="82" t="s">
        <v>57</v>
      </c>
      <c r="E229" s="67" t="s">
        <v>31</v>
      </c>
      <c r="F229" s="57" t="s">
        <v>150</v>
      </c>
      <c r="G229" s="83" t="s">
        <v>151</v>
      </c>
      <c r="H229" s="76">
        <v>45883</v>
      </c>
      <c r="I229" s="65">
        <v>0</v>
      </c>
      <c r="J229" s="82">
        <v>11222.9</v>
      </c>
      <c r="K229" s="70" t="s">
        <v>34</v>
      </c>
      <c r="L229" s="65">
        <v>0</v>
      </c>
      <c r="M229" s="82" t="s">
        <v>47</v>
      </c>
      <c r="N229" s="37">
        <f ca="1" t="shared" si="19"/>
        <v>12.3</v>
      </c>
      <c r="O229" s="71" t="s">
        <v>152</v>
      </c>
      <c r="P229" s="65">
        <v>11222.9</v>
      </c>
      <c r="Q229" s="66" t="s">
        <v>53</v>
      </c>
      <c r="R229" s="82" t="s">
        <v>396</v>
      </c>
      <c r="S229" s="58" t="s">
        <v>103</v>
      </c>
      <c r="T229" s="5"/>
    </row>
    <row r="230" ht="43.2" spans="1:20">
      <c r="A230" s="65">
        <v>566</v>
      </c>
      <c r="B230" s="79" t="s">
        <v>28</v>
      </c>
      <c r="C230" s="79" t="s">
        <v>93</v>
      </c>
      <c r="D230" s="79" t="s">
        <v>142</v>
      </c>
      <c r="E230" s="67" t="s">
        <v>31</v>
      </c>
      <c r="F230" s="67" t="s">
        <v>397</v>
      </c>
      <c r="G230" s="80" t="s">
        <v>398</v>
      </c>
      <c r="H230" s="76">
        <v>45889</v>
      </c>
      <c r="I230" s="65"/>
      <c r="J230" s="82">
        <v>47500</v>
      </c>
      <c r="K230" s="70"/>
      <c r="L230" s="65"/>
      <c r="M230" s="84" t="s">
        <v>35</v>
      </c>
      <c r="N230" s="37">
        <f ca="1" t="shared" si="19"/>
        <v>12.1</v>
      </c>
      <c r="O230" s="71">
        <v>46508</v>
      </c>
      <c r="P230" s="65">
        <v>47500</v>
      </c>
      <c r="Q230" s="66" t="s">
        <v>362</v>
      </c>
      <c r="R230" s="82" t="s">
        <v>399</v>
      </c>
      <c r="S230" s="5"/>
      <c r="T230" t="s">
        <v>86</v>
      </c>
    </row>
    <row r="231" ht="43.2" spans="1:20">
      <c r="A231" s="65">
        <v>383</v>
      </c>
      <c r="B231" s="79" t="s">
        <v>28</v>
      </c>
      <c r="C231" s="79" t="s">
        <v>93</v>
      </c>
      <c r="D231" s="82" t="s">
        <v>57</v>
      </c>
      <c r="E231" s="67" t="s">
        <v>31</v>
      </c>
      <c r="F231" s="57" t="s">
        <v>150</v>
      </c>
      <c r="G231" s="83" t="s">
        <v>151</v>
      </c>
      <c r="H231" s="76">
        <v>45891</v>
      </c>
      <c r="I231" s="65">
        <v>0</v>
      </c>
      <c r="J231" s="82">
        <v>4850</v>
      </c>
      <c r="K231" s="70" t="s">
        <v>34</v>
      </c>
      <c r="L231" s="65">
        <v>0</v>
      </c>
      <c r="M231" s="82" t="s">
        <v>42</v>
      </c>
      <c r="N231" s="37">
        <f ca="1" t="shared" si="19"/>
        <v>12.0333333333333</v>
      </c>
      <c r="O231" s="71" t="s">
        <v>152</v>
      </c>
      <c r="P231" s="65">
        <v>4850</v>
      </c>
      <c r="Q231" s="66" t="s">
        <v>53</v>
      </c>
      <c r="R231" s="82" t="s">
        <v>400</v>
      </c>
      <c r="S231" s="58" t="s">
        <v>103</v>
      </c>
      <c r="T231" s="5"/>
    </row>
    <row r="232" ht="43.2" spans="1:20">
      <c r="A232" s="65">
        <v>207</v>
      </c>
      <c r="B232" s="79" t="s">
        <v>28</v>
      </c>
      <c r="C232" s="79" t="s">
        <v>29</v>
      </c>
      <c r="D232" s="82" t="s">
        <v>57</v>
      </c>
      <c r="E232" s="67" t="s">
        <v>31</v>
      </c>
      <c r="F232" s="57" t="s">
        <v>236</v>
      </c>
      <c r="G232" s="68" t="s">
        <v>82</v>
      </c>
      <c r="H232" s="68">
        <v>45891</v>
      </c>
      <c r="I232" s="65">
        <v>0</v>
      </c>
      <c r="J232" s="82">
        <v>6173</v>
      </c>
      <c r="K232" s="70" t="s">
        <v>34</v>
      </c>
      <c r="L232" s="65">
        <v>0</v>
      </c>
      <c r="M232" s="82" t="s">
        <v>42</v>
      </c>
      <c r="N232" s="37">
        <f ca="1" t="shared" si="19"/>
        <v>12.0333333333333</v>
      </c>
      <c r="O232" s="70" t="s">
        <v>179</v>
      </c>
      <c r="P232" s="65">
        <f>J232</f>
        <v>6173</v>
      </c>
      <c r="Q232" s="66" t="s">
        <v>180</v>
      </c>
      <c r="R232" s="82" t="s">
        <v>401</v>
      </c>
      <c r="S232" s="58" t="s">
        <v>55</v>
      </c>
      <c r="T232" s="5"/>
    </row>
    <row r="233" ht="43.2" spans="1:20">
      <c r="A233" s="65">
        <v>208</v>
      </c>
      <c r="B233" s="79" t="s">
        <v>28</v>
      </c>
      <c r="C233" s="79" t="s">
        <v>29</v>
      </c>
      <c r="D233" s="82" t="s">
        <v>57</v>
      </c>
      <c r="E233" s="67" t="s">
        <v>31</v>
      </c>
      <c r="F233" s="57" t="s">
        <v>236</v>
      </c>
      <c r="G233" s="68" t="s">
        <v>82</v>
      </c>
      <c r="H233" s="68">
        <v>45891</v>
      </c>
      <c r="I233" s="65">
        <v>0</v>
      </c>
      <c r="J233" s="82">
        <v>37429</v>
      </c>
      <c r="K233" s="70" t="s">
        <v>34</v>
      </c>
      <c r="L233" s="65">
        <v>0</v>
      </c>
      <c r="M233" s="82" t="s">
        <v>58</v>
      </c>
      <c r="N233" s="37">
        <f ca="1" t="shared" si="19"/>
        <v>12.0333333333333</v>
      </c>
      <c r="O233" s="70" t="s">
        <v>179</v>
      </c>
      <c r="P233" s="65">
        <f>J233</f>
        <v>37429</v>
      </c>
      <c r="Q233" s="66" t="s">
        <v>180</v>
      </c>
      <c r="R233" s="82" t="s">
        <v>402</v>
      </c>
      <c r="S233" s="58" t="s">
        <v>55</v>
      </c>
      <c r="T233" s="5"/>
    </row>
    <row r="234" ht="43.2" spans="1:20">
      <c r="A234" s="65">
        <v>406</v>
      </c>
      <c r="B234" s="79" t="s">
        <v>28</v>
      </c>
      <c r="C234" s="79" t="s">
        <v>93</v>
      </c>
      <c r="D234" s="82" t="s">
        <v>57</v>
      </c>
      <c r="E234" s="67" t="s">
        <v>31</v>
      </c>
      <c r="F234" s="57" t="s">
        <v>150</v>
      </c>
      <c r="G234" s="83" t="s">
        <v>151</v>
      </c>
      <c r="H234" s="76">
        <v>45895</v>
      </c>
      <c r="I234" s="65">
        <v>0</v>
      </c>
      <c r="J234" s="82">
        <v>4240</v>
      </c>
      <c r="K234" s="70" t="s">
        <v>34</v>
      </c>
      <c r="L234" s="65">
        <v>0</v>
      </c>
      <c r="M234" s="82" t="s">
        <v>79</v>
      </c>
      <c r="N234" s="37">
        <f ca="1" t="shared" si="19"/>
        <v>11.9</v>
      </c>
      <c r="O234" s="71" t="s">
        <v>152</v>
      </c>
      <c r="P234" s="65">
        <v>4240</v>
      </c>
      <c r="Q234" s="66" t="s">
        <v>53</v>
      </c>
      <c r="R234" s="82" t="s">
        <v>403</v>
      </c>
      <c r="S234" s="58" t="s">
        <v>103</v>
      </c>
      <c r="T234" s="5"/>
    </row>
    <row r="235" ht="43.2" spans="1:20">
      <c r="A235" s="65">
        <v>234</v>
      </c>
      <c r="B235" s="79" t="s">
        <v>28</v>
      </c>
      <c r="C235" s="79" t="s">
        <v>29</v>
      </c>
      <c r="D235" s="82" t="s">
        <v>76</v>
      </c>
      <c r="E235" s="67" t="s">
        <v>31</v>
      </c>
      <c r="F235" s="57" t="s">
        <v>32</v>
      </c>
      <c r="G235" s="68" t="s">
        <v>33</v>
      </c>
      <c r="H235" s="68">
        <v>45896</v>
      </c>
      <c r="I235" s="65">
        <v>0</v>
      </c>
      <c r="J235" s="82">
        <v>24901.8</v>
      </c>
      <c r="K235" s="70" t="s">
        <v>83</v>
      </c>
      <c r="L235" s="65">
        <f>J235</f>
        <v>24901.8</v>
      </c>
      <c r="M235" s="82" t="s">
        <v>47</v>
      </c>
      <c r="N235" s="37">
        <f ca="1" t="shared" si="19"/>
        <v>11.8666666666667</v>
      </c>
      <c r="O235" s="71">
        <v>46419</v>
      </c>
      <c r="P235" s="65">
        <f>J235</f>
        <v>24901.8</v>
      </c>
      <c r="Q235" s="57" t="s">
        <v>84</v>
      </c>
      <c r="R235" s="82" t="s">
        <v>404</v>
      </c>
      <c r="S235" s="58" t="s">
        <v>55</v>
      </c>
      <c r="T235" s="5" t="s">
        <v>86</v>
      </c>
    </row>
    <row r="236" ht="43.2" spans="1:20">
      <c r="A236" s="65">
        <v>394</v>
      </c>
      <c r="B236" s="79" t="s">
        <v>28</v>
      </c>
      <c r="C236" s="79" t="s">
        <v>93</v>
      </c>
      <c r="D236" s="82" t="s">
        <v>57</v>
      </c>
      <c r="E236" s="67" t="s">
        <v>31</v>
      </c>
      <c r="F236" s="57" t="s">
        <v>150</v>
      </c>
      <c r="G236" s="83" t="s">
        <v>151</v>
      </c>
      <c r="H236" s="76">
        <v>45897</v>
      </c>
      <c r="I236" s="65">
        <v>0</v>
      </c>
      <c r="J236" s="82">
        <v>4240</v>
      </c>
      <c r="K236" s="70" t="s">
        <v>34</v>
      </c>
      <c r="L236" s="65">
        <v>0</v>
      </c>
      <c r="M236" s="82" t="s">
        <v>58</v>
      </c>
      <c r="N236" s="37">
        <f ca="1" t="shared" si="19"/>
        <v>11.8333333333333</v>
      </c>
      <c r="O236" s="71" t="s">
        <v>152</v>
      </c>
      <c r="P236" s="65">
        <v>4240</v>
      </c>
      <c r="Q236" s="66" t="s">
        <v>53</v>
      </c>
      <c r="R236" s="82" t="s">
        <v>405</v>
      </c>
      <c r="S236" s="58" t="s">
        <v>103</v>
      </c>
      <c r="T236" s="5"/>
    </row>
    <row r="237" ht="43.2" spans="1:20">
      <c r="A237" s="65">
        <v>395</v>
      </c>
      <c r="B237" s="79" t="s">
        <v>28</v>
      </c>
      <c r="C237" s="79" t="s">
        <v>93</v>
      </c>
      <c r="D237" s="82" t="s">
        <v>57</v>
      </c>
      <c r="E237" s="67" t="s">
        <v>31</v>
      </c>
      <c r="F237" s="57" t="s">
        <v>150</v>
      </c>
      <c r="G237" s="83" t="s">
        <v>151</v>
      </c>
      <c r="H237" s="76">
        <v>45897</v>
      </c>
      <c r="I237" s="65">
        <v>0</v>
      </c>
      <c r="J237" s="82">
        <v>7801.6</v>
      </c>
      <c r="K237" s="70" t="s">
        <v>34</v>
      </c>
      <c r="L237" s="65">
        <v>0</v>
      </c>
      <c r="M237" s="82" t="s">
        <v>79</v>
      </c>
      <c r="N237" s="37">
        <f ca="1" t="shared" si="19"/>
        <v>11.8333333333333</v>
      </c>
      <c r="O237" s="71" t="s">
        <v>152</v>
      </c>
      <c r="P237" s="65">
        <v>7801.6</v>
      </c>
      <c r="Q237" s="66" t="s">
        <v>53</v>
      </c>
      <c r="R237" s="82" t="s">
        <v>406</v>
      </c>
      <c r="S237" s="58" t="s">
        <v>103</v>
      </c>
      <c r="T237" s="5"/>
    </row>
    <row r="238" ht="43.2" spans="1:20">
      <c r="A238" s="65">
        <v>242</v>
      </c>
      <c r="B238" s="66" t="s">
        <v>28</v>
      </c>
      <c r="C238" s="66" t="s">
        <v>29</v>
      </c>
      <c r="D238" s="65" t="s">
        <v>30</v>
      </c>
      <c r="E238" s="67" t="s">
        <v>31</v>
      </c>
      <c r="F238" s="57" t="s">
        <v>236</v>
      </c>
      <c r="G238" s="68" t="s">
        <v>82</v>
      </c>
      <c r="H238" s="68">
        <v>45897</v>
      </c>
      <c r="I238" s="65">
        <v>0</v>
      </c>
      <c r="J238" s="65">
        <v>5000</v>
      </c>
      <c r="K238" s="70" t="s">
        <v>34</v>
      </c>
      <c r="L238" s="65">
        <v>0</v>
      </c>
      <c r="M238" s="65" t="s">
        <v>58</v>
      </c>
      <c r="N238" s="37">
        <f ca="1" t="shared" si="19"/>
        <v>11.8333333333333</v>
      </c>
      <c r="O238" s="70" t="s">
        <v>179</v>
      </c>
      <c r="P238" s="65">
        <f>J238</f>
        <v>5000</v>
      </c>
      <c r="Q238" s="66" t="s">
        <v>180</v>
      </c>
      <c r="R238" s="65" t="s">
        <v>407</v>
      </c>
      <c r="S238" s="72" t="s">
        <v>55</v>
      </c>
      <c r="T238" s="78"/>
    </row>
    <row r="239" ht="57.6" spans="1:20">
      <c r="A239" s="41">
        <v>241</v>
      </c>
      <c r="B239" s="42" t="s">
        <v>28</v>
      </c>
      <c r="C239" s="42" t="s">
        <v>408</v>
      </c>
      <c r="D239" s="41" t="s">
        <v>76</v>
      </c>
      <c r="E239" s="165" t="s">
        <v>41</v>
      </c>
      <c r="F239" s="174" t="s">
        <v>41</v>
      </c>
      <c r="G239" s="166" t="s">
        <v>41</v>
      </c>
      <c r="H239" s="74">
        <v>45898</v>
      </c>
      <c r="I239" s="41">
        <v>21000</v>
      </c>
      <c r="J239" s="41">
        <v>43120</v>
      </c>
      <c r="K239" s="43" t="s">
        <v>34</v>
      </c>
      <c r="L239" s="41">
        <v>0</v>
      </c>
      <c r="M239" s="41" t="s">
        <v>97</v>
      </c>
      <c r="N239" s="37">
        <f ca="1" t="shared" si="19"/>
        <v>11.8</v>
      </c>
      <c r="O239" s="47">
        <v>46266</v>
      </c>
      <c r="P239" s="41">
        <f>J239</f>
        <v>43120</v>
      </c>
      <c r="Q239" s="42" t="s">
        <v>61</v>
      </c>
      <c r="R239" s="41" t="s">
        <v>409</v>
      </c>
      <c r="S239" s="48" t="s">
        <v>45</v>
      </c>
      <c r="T239" s="50"/>
    </row>
    <row r="240" ht="43.2" spans="1:20">
      <c r="A240" s="65">
        <v>211</v>
      </c>
      <c r="B240" s="79" t="s">
        <v>28</v>
      </c>
      <c r="C240" s="79" t="s">
        <v>29</v>
      </c>
      <c r="D240" s="82" t="s">
        <v>76</v>
      </c>
      <c r="E240" s="67" t="s">
        <v>31</v>
      </c>
      <c r="F240" s="57" t="s">
        <v>304</v>
      </c>
      <c r="G240" s="68" t="s">
        <v>305</v>
      </c>
      <c r="H240" s="68">
        <v>45902</v>
      </c>
      <c r="I240" s="65">
        <v>0</v>
      </c>
      <c r="J240" s="82">
        <v>946</v>
      </c>
      <c r="K240" s="70" t="s">
        <v>83</v>
      </c>
      <c r="L240" s="65">
        <f>J240</f>
        <v>946</v>
      </c>
      <c r="M240" s="82" t="s">
        <v>58</v>
      </c>
      <c r="N240" s="37">
        <f ca="1" t="shared" si="19"/>
        <v>11.6666666666667</v>
      </c>
      <c r="O240" s="71">
        <v>46419</v>
      </c>
      <c r="P240" s="65">
        <f>J240</f>
        <v>946</v>
      </c>
      <c r="Q240" s="57" t="s">
        <v>84</v>
      </c>
      <c r="R240" s="82" t="s">
        <v>410</v>
      </c>
      <c r="S240" s="58" t="s">
        <v>55</v>
      </c>
      <c r="T240" s="58" t="s">
        <v>86</v>
      </c>
    </row>
    <row r="241" ht="43.2" spans="1:20">
      <c r="A241" s="65">
        <v>402</v>
      </c>
      <c r="B241" s="79" t="s">
        <v>28</v>
      </c>
      <c r="C241" s="79" t="s">
        <v>93</v>
      </c>
      <c r="D241" s="82" t="s">
        <v>57</v>
      </c>
      <c r="E241" s="67" t="s">
        <v>31</v>
      </c>
      <c r="F241" s="57" t="s">
        <v>150</v>
      </c>
      <c r="G241" s="83" t="s">
        <v>151</v>
      </c>
      <c r="H241" s="76">
        <v>45905</v>
      </c>
      <c r="I241" s="65">
        <v>0</v>
      </c>
      <c r="J241" s="82">
        <v>4240</v>
      </c>
      <c r="K241" s="70" t="s">
        <v>34</v>
      </c>
      <c r="L241" s="65">
        <v>0</v>
      </c>
      <c r="M241" s="82" t="s">
        <v>79</v>
      </c>
      <c r="N241" s="37">
        <f ca="1" t="shared" si="19"/>
        <v>11.5666666666667</v>
      </c>
      <c r="O241" s="71" t="s">
        <v>152</v>
      </c>
      <c r="P241" s="65">
        <v>4240</v>
      </c>
      <c r="Q241" s="66" t="s">
        <v>53</v>
      </c>
      <c r="R241" s="82" t="s">
        <v>411</v>
      </c>
      <c r="S241" s="58" t="s">
        <v>103</v>
      </c>
      <c r="T241" s="5"/>
    </row>
    <row r="242" ht="43.2" spans="1:20">
      <c r="A242" s="30">
        <v>212</v>
      </c>
      <c r="B242" s="31" t="s">
        <v>28</v>
      </c>
      <c r="C242" s="31" t="s">
        <v>412</v>
      </c>
      <c r="D242" s="30" t="s">
        <v>413</v>
      </c>
      <c r="E242" s="167" t="s">
        <v>41</v>
      </c>
      <c r="F242" s="175" t="s">
        <v>41</v>
      </c>
      <c r="G242" s="168" t="s">
        <v>41</v>
      </c>
      <c r="H242" s="35">
        <v>45905</v>
      </c>
      <c r="I242" s="30">
        <v>0</v>
      </c>
      <c r="J242" s="30">
        <v>4400</v>
      </c>
      <c r="K242" s="32" t="s">
        <v>34</v>
      </c>
      <c r="L242" s="30">
        <v>0</v>
      </c>
      <c r="M242" s="30" t="s">
        <v>35</v>
      </c>
      <c r="N242" s="37">
        <f ca="1" t="shared" si="19"/>
        <v>11.5666666666667</v>
      </c>
      <c r="O242" s="61">
        <v>46266</v>
      </c>
      <c r="P242" s="30">
        <f>J242</f>
        <v>4400</v>
      </c>
      <c r="Q242" s="31" t="s">
        <v>131</v>
      </c>
      <c r="R242" s="30" t="s">
        <v>414</v>
      </c>
      <c r="S242" s="39" t="s">
        <v>38</v>
      </c>
      <c r="T242" s="77"/>
    </row>
    <row r="243" ht="43.2" spans="1:20">
      <c r="A243" s="65">
        <v>228</v>
      </c>
      <c r="B243" s="79" t="s">
        <v>28</v>
      </c>
      <c r="C243" s="79" t="s">
        <v>29</v>
      </c>
      <c r="D243" s="82" t="s">
        <v>76</v>
      </c>
      <c r="E243" s="67" t="s">
        <v>31</v>
      </c>
      <c r="F243" s="57" t="s">
        <v>32</v>
      </c>
      <c r="G243" s="68" t="s">
        <v>33</v>
      </c>
      <c r="H243" s="68">
        <v>45905</v>
      </c>
      <c r="I243" s="65">
        <v>0</v>
      </c>
      <c r="J243" s="82">
        <v>7590</v>
      </c>
      <c r="K243" s="70" t="s">
        <v>83</v>
      </c>
      <c r="L243" s="65">
        <f>J243</f>
        <v>7590</v>
      </c>
      <c r="M243" s="82" t="s">
        <v>58</v>
      </c>
      <c r="N243" s="37">
        <f ca="1" t="shared" si="19"/>
        <v>11.5666666666667</v>
      </c>
      <c r="O243" s="71">
        <v>46419</v>
      </c>
      <c r="P243" s="65">
        <f>J243</f>
        <v>7590</v>
      </c>
      <c r="Q243" s="57" t="s">
        <v>84</v>
      </c>
      <c r="R243" s="82" t="s">
        <v>415</v>
      </c>
      <c r="S243" s="58" t="s">
        <v>55</v>
      </c>
      <c r="T243" s="5" t="s">
        <v>86</v>
      </c>
    </row>
    <row r="244" ht="43.2" spans="1:20">
      <c r="A244" s="65">
        <v>401</v>
      </c>
      <c r="B244" s="79" t="s">
        <v>28</v>
      </c>
      <c r="C244" s="79" t="s">
        <v>93</v>
      </c>
      <c r="D244" s="82" t="s">
        <v>57</v>
      </c>
      <c r="E244" s="67" t="s">
        <v>31</v>
      </c>
      <c r="F244" s="57" t="s">
        <v>150</v>
      </c>
      <c r="G244" s="83" t="s">
        <v>151</v>
      </c>
      <c r="H244" s="76">
        <v>45909</v>
      </c>
      <c r="I244" s="65">
        <v>0</v>
      </c>
      <c r="J244" s="82">
        <v>4240</v>
      </c>
      <c r="K244" s="70" t="s">
        <v>34</v>
      </c>
      <c r="L244" s="65">
        <v>0</v>
      </c>
      <c r="M244" s="82" t="s">
        <v>42</v>
      </c>
      <c r="N244" s="37">
        <f ca="1" t="shared" si="19"/>
        <v>11.4333333333333</v>
      </c>
      <c r="O244" s="71" t="s">
        <v>152</v>
      </c>
      <c r="P244" s="65">
        <v>4240</v>
      </c>
      <c r="Q244" s="66" t="s">
        <v>53</v>
      </c>
      <c r="R244" s="82" t="s">
        <v>416</v>
      </c>
      <c r="S244" s="58" t="s">
        <v>103</v>
      </c>
      <c r="T244" s="5"/>
    </row>
    <row r="245" ht="43.2" spans="1:20">
      <c r="A245" s="65">
        <v>407</v>
      </c>
      <c r="B245" s="79" t="s">
        <v>28</v>
      </c>
      <c r="C245" s="79" t="s">
        <v>93</v>
      </c>
      <c r="D245" s="82" t="s">
        <v>57</v>
      </c>
      <c r="E245" s="67" t="s">
        <v>31</v>
      </c>
      <c r="F245" s="57" t="s">
        <v>150</v>
      </c>
      <c r="G245" s="83" t="s">
        <v>151</v>
      </c>
      <c r="H245" s="76">
        <v>45909</v>
      </c>
      <c r="I245" s="65">
        <v>0</v>
      </c>
      <c r="J245" s="82">
        <v>4240</v>
      </c>
      <c r="K245" s="70" t="s">
        <v>34</v>
      </c>
      <c r="L245" s="65">
        <v>0</v>
      </c>
      <c r="M245" s="82" t="s">
        <v>42</v>
      </c>
      <c r="N245" s="37">
        <f ca="1" t="shared" si="19"/>
        <v>11.4333333333333</v>
      </c>
      <c r="O245" s="71" t="s">
        <v>152</v>
      </c>
      <c r="P245" s="65">
        <v>4240</v>
      </c>
      <c r="Q245" s="66" t="s">
        <v>53</v>
      </c>
      <c r="R245" s="82" t="s">
        <v>417</v>
      </c>
      <c r="S245" s="58" t="s">
        <v>103</v>
      </c>
      <c r="T245" s="5"/>
    </row>
    <row r="246" ht="43.2" spans="1:20">
      <c r="A246" s="65">
        <v>567</v>
      </c>
      <c r="B246" s="66" t="s">
        <v>28</v>
      </c>
      <c r="C246" s="79" t="s">
        <v>29</v>
      </c>
      <c r="D246" s="79" t="s">
        <v>142</v>
      </c>
      <c r="E246" s="67"/>
      <c r="F246" s="67"/>
      <c r="G246" s="80"/>
      <c r="H246" s="76">
        <v>45910</v>
      </c>
      <c r="I246" s="65"/>
      <c r="J246" s="82">
        <v>17160</v>
      </c>
      <c r="K246" s="70"/>
      <c r="L246" s="65"/>
      <c r="M246" s="82" t="s">
        <v>47</v>
      </c>
      <c r="N246" s="37">
        <f ca="1" t="shared" si="19"/>
        <v>11.4</v>
      </c>
      <c r="O246" s="70"/>
      <c r="P246" s="65">
        <v>17160</v>
      </c>
      <c r="Q246" s="66" t="s">
        <v>193</v>
      </c>
      <c r="R246" s="82" t="s">
        <v>418</v>
      </c>
      <c r="S246" s="5"/>
    </row>
    <row r="247" ht="43.2" spans="1:20">
      <c r="A247" s="30">
        <v>227</v>
      </c>
      <c r="B247" s="31" t="s">
        <v>28</v>
      </c>
      <c r="C247" s="31" t="s">
        <v>60</v>
      </c>
      <c r="D247" s="30" t="s">
        <v>57</v>
      </c>
      <c r="E247" s="167" t="s">
        <v>41</v>
      </c>
      <c r="F247" s="175" t="s">
        <v>41</v>
      </c>
      <c r="G247" s="168" t="s">
        <v>41</v>
      </c>
      <c r="H247" s="35">
        <v>45911</v>
      </c>
      <c r="I247" s="30">
        <v>0</v>
      </c>
      <c r="J247" s="30">
        <v>6173</v>
      </c>
      <c r="K247" s="32" t="s">
        <v>34</v>
      </c>
      <c r="L247" s="30">
        <v>0</v>
      </c>
      <c r="M247" s="30" t="s">
        <v>97</v>
      </c>
      <c r="N247" s="37">
        <f ca="1" t="shared" si="19"/>
        <v>11.3666666666667</v>
      </c>
      <c r="O247" s="61">
        <v>46266</v>
      </c>
      <c r="P247" s="30">
        <f>J247</f>
        <v>6173</v>
      </c>
      <c r="Q247" s="34" t="s">
        <v>185</v>
      </c>
      <c r="R247" s="30" t="s">
        <v>419</v>
      </c>
      <c r="S247" s="39" t="s">
        <v>38</v>
      </c>
      <c r="T247" s="77"/>
    </row>
    <row r="248" ht="43.2" spans="1:20">
      <c r="A248" s="30">
        <v>237</v>
      </c>
      <c r="B248" s="31" t="s">
        <v>28</v>
      </c>
      <c r="C248" s="31" t="s">
        <v>60</v>
      </c>
      <c r="D248" s="30" t="s">
        <v>57</v>
      </c>
      <c r="E248" s="167" t="s">
        <v>41</v>
      </c>
      <c r="F248" s="175" t="s">
        <v>41</v>
      </c>
      <c r="G248" s="168" t="s">
        <v>41</v>
      </c>
      <c r="H248" s="35">
        <v>45911</v>
      </c>
      <c r="I248" s="30">
        <v>0</v>
      </c>
      <c r="J248" s="30">
        <v>14363</v>
      </c>
      <c r="K248" s="32" t="s">
        <v>34</v>
      </c>
      <c r="L248" s="30">
        <v>0</v>
      </c>
      <c r="M248" s="30" t="s">
        <v>58</v>
      </c>
      <c r="N248" s="37">
        <f ca="1" t="shared" si="19"/>
        <v>11.3666666666667</v>
      </c>
      <c r="O248" s="61">
        <v>46266</v>
      </c>
      <c r="P248" s="30">
        <f>J248</f>
        <v>14363</v>
      </c>
      <c r="Q248" s="34" t="s">
        <v>420</v>
      </c>
      <c r="R248" s="30" t="s">
        <v>421</v>
      </c>
      <c r="S248" s="39" t="s">
        <v>38</v>
      </c>
      <c r="T248" s="77"/>
    </row>
    <row r="249" ht="43.2" spans="1:20">
      <c r="A249" s="65">
        <v>408</v>
      </c>
      <c r="B249" s="79" t="s">
        <v>28</v>
      </c>
      <c r="C249" s="79" t="s">
        <v>93</v>
      </c>
      <c r="D249" s="82" t="s">
        <v>57</v>
      </c>
      <c r="E249" s="67" t="s">
        <v>31</v>
      </c>
      <c r="F249" s="57" t="s">
        <v>150</v>
      </c>
      <c r="G249" s="83" t="s">
        <v>151</v>
      </c>
      <c r="H249" s="76">
        <v>45911</v>
      </c>
      <c r="I249" s="65">
        <v>0</v>
      </c>
      <c r="J249" s="82">
        <v>4240</v>
      </c>
      <c r="K249" s="70" t="s">
        <v>34</v>
      </c>
      <c r="L249" s="65">
        <v>0</v>
      </c>
      <c r="M249" s="82" t="s">
        <v>79</v>
      </c>
      <c r="N249" s="37">
        <f ca="1" t="shared" si="19"/>
        <v>11.3666666666667</v>
      </c>
      <c r="O249" s="71" t="s">
        <v>152</v>
      </c>
      <c r="P249" s="65">
        <v>4240</v>
      </c>
      <c r="Q249" s="66" t="s">
        <v>53</v>
      </c>
      <c r="R249" s="82" t="s">
        <v>422</v>
      </c>
      <c r="S249" s="58" t="s">
        <v>103</v>
      </c>
      <c r="T249" s="5"/>
    </row>
    <row r="250" ht="43.2" spans="1:20">
      <c r="A250" s="65">
        <v>240</v>
      </c>
      <c r="B250" s="79" t="s">
        <v>28</v>
      </c>
      <c r="C250" s="79" t="s">
        <v>29</v>
      </c>
      <c r="D250" s="82" t="s">
        <v>76</v>
      </c>
      <c r="E250" s="67" t="s">
        <v>31</v>
      </c>
      <c r="F250" s="57" t="s">
        <v>304</v>
      </c>
      <c r="G250" s="68" t="s">
        <v>305</v>
      </c>
      <c r="H250" s="68">
        <v>45911</v>
      </c>
      <c r="I250" s="65">
        <v>0</v>
      </c>
      <c r="J250" s="82">
        <v>732.6</v>
      </c>
      <c r="K250" s="70" t="s">
        <v>83</v>
      </c>
      <c r="L250" s="65">
        <f t="shared" ref="L250:L267" si="21">J250</f>
        <v>732.6</v>
      </c>
      <c r="M250" s="82" t="s">
        <v>58</v>
      </c>
      <c r="N250" s="37">
        <f ca="1" t="shared" si="19"/>
        <v>11.3666666666667</v>
      </c>
      <c r="O250" s="71">
        <v>46419</v>
      </c>
      <c r="P250" s="65">
        <f t="shared" ref="P250:P270" si="22">J250</f>
        <v>732.6</v>
      </c>
      <c r="Q250" s="57" t="s">
        <v>84</v>
      </c>
      <c r="R250" s="82" t="s">
        <v>423</v>
      </c>
      <c r="S250" s="58" t="s">
        <v>55</v>
      </c>
      <c r="T250" s="58" t="s">
        <v>86</v>
      </c>
    </row>
    <row r="251" ht="57.6" spans="1:20">
      <c r="A251" s="41">
        <v>209</v>
      </c>
      <c r="B251" s="42" t="s">
        <v>28</v>
      </c>
      <c r="C251" s="42" t="s">
        <v>424</v>
      </c>
      <c r="D251" s="41" t="s">
        <v>168</v>
      </c>
      <c r="E251" s="43">
        <v>141000</v>
      </c>
      <c r="F251" s="63" t="s">
        <v>425</v>
      </c>
      <c r="G251" s="75" t="s">
        <v>426</v>
      </c>
      <c r="H251" s="74">
        <v>45914</v>
      </c>
      <c r="I251" s="41">
        <v>0</v>
      </c>
      <c r="J251" s="41">
        <v>2726.5</v>
      </c>
      <c r="K251" s="43" t="s">
        <v>83</v>
      </c>
      <c r="L251" s="41">
        <f t="shared" si="21"/>
        <v>2726.5</v>
      </c>
      <c r="M251" s="41" t="s">
        <v>58</v>
      </c>
      <c r="N251" s="37">
        <f ca="1" t="shared" si="19"/>
        <v>11.2666666666667</v>
      </c>
      <c r="O251" s="47">
        <v>46266</v>
      </c>
      <c r="P251" s="41">
        <f t="shared" si="22"/>
        <v>2726.5</v>
      </c>
      <c r="Q251" s="42" t="s">
        <v>61</v>
      </c>
      <c r="R251" s="41" t="s">
        <v>427</v>
      </c>
      <c r="S251" s="48" t="s">
        <v>45</v>
      </c>
      <c r="T251" s="50"/>
    </row>
    <row r="252" ht="57.6" spans="1:20">
      <c r="A252" s="41">
        <v>210</v>
      </c>
      <c r="B252" s="42" t="s">
        <v>28</v>
      </c>
      <c r="C252" s="42" t="s">
        <v>424</v>
      </c>
      <c r="D252" s="41" t="s">
        <v>168</v>
      </c>
      <c r="E252" s="43">
        <v>141000</v>
      </c>
      <c r="F252" s="63" t="s">
        <v>425</v>
      </c>
      <c r="G252" s="75" t="s">
        <v>426</v>
      </c>
      <c r="H252" s="74">
        <v>45914</v>
      </c>
      <c r="I252" s="41">
        <v>0</v>
      </c>
      <c r="J252" s="41">
        <v>3088.45</v>
      </c>
      <c r="K252" s="43" t="s">
        <v>83</v>
      </c>
      <c r="L252" s="41">
        <f t="shared" si="21"/>
        <v>3088.45</v>
      </c>
      <c r="M252" s="41" t="s">
        <v>58</v>
      </c>
      <c r="N252" s="37">
        <f ca="1" t="shared" si="19"/>
        <v>11.2666666666667</v>
      </c>
      <c r="O252" s="47">
        <v>46266</v>
      </c>
      <c r="P252" s="41">
        <f t="shared" si="22"/>
        <v>3088.45</v>
      </c>
      <c r="Q252" s="42" t="s">
        <v>61</v>
      </c>
      <c r="R252" s="41" t="s">
        <v>428</v>
      </c>
      <c r="S252" s="48" t="s">
        <v>45</v>
      </c>
      <c r="T252" s="50"/>
    </row>
    <row r="253" ht="57.6" spans="1:20">
      <c r="A253" s="30">
        <v>214</v>
      </c>
      <c r="B253" s="31" t="s">
        <v>28</v>
      </c>
      <c r="C253" s="31" t="s">
        <v>424</v>
      </c>
      <c r="D253" s="30" t="s">
        <v>168</v>
      </c>
      <c r="E253" s="111">
        <v>141000</v>
      </c>
      <c r="F253" s="34" t="s">
        <v>425</v>
      </c>
      <c r="G253" s="89" t="s">
        <v>426</v>
      </c>
      <c r="H253" s="35">
        <v>45914</v>
      </c>
      <c r="I253" s="30">
        <v>0</v>
      </c>
      <c r="J253" s="30">
        <v>3122.1</v>
      </c>
      <c r="K253" s="32" t="s">
        <v>83</v>
      </c>
      <c r="L253" s="30">
        <f t="shared" si="21"/>
        <v>3122.1</v>
      </c>
      <c r="M253" s="30" t="s">
        <v>58</v>
      </c>
      <c r="N253" s="37">
        <f ca="1" t="shared" si="19"/>
        <v>11.2666666666667</v>
      </c>
      <c r="O253" s="61">
        <v>46266</v>
      </c>
      <c r="P253" s="30">
        <f t="shared" si="22"/>
        <v>3122.1</v>
      </c>
      <c r="Q253" s="31" t="s">
        <v>61</v>
      </c>
      <c r="R253" s="30" t="s">
        <v>429</v>
      </c>
      <c r="S253" s="39" t="s">
        <v>38</v>
      </c>
      <c r="T253" s="77"/>
    </row>
    <row r="254" ht="57.6" spans="1:20">
      <c r="A254" s="30">
        <v>215</v>
      </c>
      <c r="B254" s="31" t="s">
        <v>28</v>
      </c>
      <c r="C254" s="31" t="s">
        <v>424</v>
      </c>
      <c r="D254" s="30" t="s">
        <v>168</v>
      </c>
      <c r="E254" s="111">
        <v>141000</v>
      </c>
      <c r="F254" s="34" t="s">
        <v>425</v>
      </c>
      <c r="G254" s="89" t="s">
        <v>426</v>
      </c>
      <c r="H254" s="35">
        <v>45914</v>
      </c>
      <c r="I254" s="30">
        <v>0</v>
      </c>
      <c r="J254" s="30">
        <v>5327.45</v>
      </c>
      <c r="K254" s="32" t="s">
        <v>83</v>
      </c>
      <c r="L254" s="30">
        <f t="shared" si="21"/>
        <v>5327.45</v>
      </c>
      <c r="M254" s="30" t="s">
        <v>58</v>
      </c>
      <c r="N254" s="37">
        <f ca="1" t="shared" si="19"/>
        <v>11.2666666666667</v>
      </c>
      <c r="O254" s="61">
        <v>46266</v>
      </c>
      <c r="P254" s="30">
        <f t="shared" si="22"/>
        <v>5327.45</v>
      </c>
      <c r="Q254" s="31" t="s">
        <v>61</v>
      </c>
      <c r="R254" s="30" t="s">
        <v>430</v>
      </c>
      <c r="S254" s="39" t="s">
        <v>38</v>
      </c>
      <c r="T254" s="77"/>
    </row>
    <row r="255" ht="57.6" spans="1:20">
      <c r="A255" s="30">
        <v>216</v>
      </c>
      <c r="B255" s="31" t="s">
        <v>28</v>
      </c>
      <c r="C255" s="31" t="s">
        <v>424</v>
      </c>
      <c r="D255" s="30" t="s">
        <v>168</v>
      </c>
      <c r="E255" s="111">
        <v>141000</v>
      </c>
      <c r="F255" s="34" t="s">
        <v>425</v>
      </c>
      <c r="G255" s="89" t="s">
        <v>426</v>
      </c>
      <c r="H255" s="35">
        <v>45914</v>
      </c>
      <c r="I255" s="30">
        <v>0</v>
      </c>
      <c r="J255" s="30">
        <v>2726.5</v>
      </c>
      <c r="K255" s="32" t="s">
        <v>83</v>
      </c>
      <c r="L255" s="30">
        <f t="shared" si="21"/>
        <v>2726.5</v>
      </c>
      <c r="M255" s="30" t="s">
        <v>58</v>
      </c>
      <c r="N255" s="37">
        <f ca="1" t="shared" si="19"/>
        <v>11.2666666666667</v>
      </c>
      <c r="O255" s="61">
        <v>46266</v>
      </c>
      <c r="P255" s="30">
        <f t="shared" si="22"/>
        <v>2726.5</v>
      </c>
      <c r="Q255" s="31" t="s">
        <v>61</v>
      </c>
      <c r="R255" s="30" t="s">
        <v>431</v>
      </c>
      <c r="S255" s="39" t="s">
        <v>38</v>
      </c>
      <c r="T255" s="77"/>
    </row>
    <row r="256" ht="57.6" spans="1:20">
      <c r="A256" s="30">
        <v>217</v>
      </c>
      <c r="B256" s="31" t="s">
        <v>28</v>
      </c>
      <c r="C256" s="31" t="s">
        <v>424</v>
      </c>
      <c r="D256" s="30" t="s">
        <v>76</v>
      </c>
      <c r="E256" s="111">
        <v>141000</v>
      </c>
      <c r="F256" s="34" t="s">
        <v>425</v>
      </c>
      <c r="G256" s="89" t="s">
        <v>426</v>
      </c>
      <c r="H256" s="35">
        <v>45914</v>
      </c>
      <c r="I256" s="30">
        <v>0</v>
      </c>
      <c r="J256" s="30">
        <v>4426.25</v>
      </c>
      <c r="K256" s="32" t="s">
        <v>83</v>
      </c>
      <c r="L256" s="30">
        <f t="shared" si="21"/>
        <v>4426.25</v>
      </c>
      <c r="M256" s="30" t="s">
        <v>58</v>
      </c>
      <c r="N256" s="37">
        <f ca="1" t="shared" si="19"/>
        <v>11.2666666666667</v>
      </c>
      <c r="O256" s="61">
        <v>46266</v>
      </c>
      <c r="P256" s="30">
        <f t="shared" si="22"/>
        <v>4426.25</v>
      </c>
      <c r="Q256" s="31" t="s">
        <v>61</v>
      </c>
      <c r="R256" s="30" t="s">
        <v>432</v>
      </c>
      <c r="S256" s="39" t="s">
        <v>38</v>
      </c>
      <c r="T256" s="77"/>
    </row>
    <row r="257" ht="57.6" spans="1:20">
      <c r="A257" s="30">
        <v>218</v>
      </c>
      <c r="B257" s="31" t="s">
        <v>28</v>
      </c>
      <c r="C257" s="31" t="s">
        <v>424</v>
      </c>
      <c r="D257" s="30" t="s">
        <v>168</v>
      </c>
      <c r="E257" s="111">
        <v>141000</v>
      </c>
      <c r="F257" s="34" t="s">
        <v>425</v>
      </c>
      <c r="G257" s="89" t="s">
        <v>426</v>
      </c>
      <c r="H257" s="35">
        <v>45914</v>
      </c>
      <c r="I257" s="30">
        <v>0</v>
      </c>
      <c r="J257" s="30">
        <v>2726.5</v>
      </c>
      <c r="K257" s="32" t="s">
        <v>83</v>
      </c>
      <c r="L257" s="30">
        <f t="shared" si="21"/>
        <v>2726.5</v>
      </c>
      <c r="M257" s="30" t="s">
        <v>58</v>
      </c>
      <c r="N257" s="37">
        <f ca="1" t="shared" si="19"/>
        <v>11.2666666666667</v>
      </c>
      <c r="O257" s="61">
        <v>46266</v>
      </c>
      <c r="P257" s="30">
        <f t="shared" si="22"/>
        <v>2726.5</v>
      </c>
      <c r="Q257" s="31" t="s">
        <v>61</v>
      </c>
      <c r="R257" s="30" t="s">
        <v>433</v>
      </c>
      <c r="S257" s="39" t="s">
        <v>38</v>
      </c>
      <c r="T257" s="77"/>
    </row>
    <row r="258" ht="57.6" spans="1:20">
      <c r="A258" s="30">
        <v>220</v>
      </c>
      <c r="B258" s="31" t="s">
        <v>28</v>
      </c>
      <c r="C258" s="31" t="s">
        <v>424</v>
      </c>
      <c r="D258" s="30" t="s">
        <v>168</v>
      </c>
      <c r="E258" s="111">
        <v>141000</v>
      </c>
      <c r="F258" s="34" t="s">
        <v>425</v>
      </c>
      <c r="G258" s="89" t="s">
        <v>426</v>
      </c>
      <c r="H258" s="35">
        <v>45914</v>
      </c>
      <c r="I258" s="30">
        <v>0</v>
      </c>
      <c r="J258" s="30">
        <v>3256.7</v>
      </c>
      <c r="K258" s="32" t="s">
        <v>83</v>
      </c>
      <c r="L258" s="30">
        <f t="shared" si="21"/>
        <v>3256.7</v>
      </c>
      <c r="M258" s="30" t="s">
        <v>58</v>
      </c>
      <c r="N258" s="37">
        <f ca="1" t="shared" si="19"/>
        <v>11.2666666666667</v>
      </c>
      <c r="O258" s="61">
        <v>46266</v>
      </c>
      <c r="P258" s="30">
        <f t="shared" si="22"/>
        <v>3256.7</v>
      </c>
      <c r="Q258" s="31" t="s">
        <v>61</v>
      </c>
      <c r="R258" s="30" t="s">
        <v>434</v>
      </c>
      <c r="S258" s="39" t="s">
        <v>38</v>
      </c>
      <c r="T258" s="77"/>
    </row>
    <row r="259" ht="57.6" spans="1:20">
      <c r="A259" s="30">
        <v>221</v>
      </c>
      <c r="B259" s="31" t="s">
        <v>28</v>
      </c>
      <c r="C259" s="31" t="s">
        <v>424</v>
      </c>
      <c r="D259" s="30" t="s">
        <v>168</v>
      </c>
      <c r="E259" s="111">
        <v>141000</v>
      </c>
      <c r="F259" s="34" t="s">
        <v>425</v>
      </c>
      <c r="G259" s="89" t="s">
        <v>426</v>
      </c>
      <c r="H259" s="35">
        <v>45914</v>
      </c>
      <c r="I259" s="30">
        <v>0</v>
      </c>
      <c r="J259" s="30">
        <v>2726.5</v>
      </c>
      <c r="K259" s="32" t="s">
        <v>83</v>
      </c>
      <c r="L259" s="30">
        <f t="shared" si="21"/>
        <v>2726.5</v>
      </c>
      <c r="M259" s="30" t="s">
        <v>58</v>
      </c>
      <c r="N259" s="37">
        <f ca="1" t="shared" si="19"/>
        <v>11.2666666666667</v>
      </c>
      <c r="O259" s="61">
        <v>46266</v>
      </c>
      <c r="P259" s="30">
        <f t="shared" si="22"/>
        <v>2726.5</v>
      </c>
      <c r="Q259" s="31" t="s">
        <v>61</v>
      </c>
      <c r="R259" s="30" t="s">
        <v>435</v>
      </c>
      <c r="S259" s="39" t="s">
        <v>38</v>
      </c>
      <c r="T259" s="77"/>
    </row>
    <row r="260" ht="57.6" spans="1:20">
      <c r="A260" s="30">
        <v>222</v>
      </c>
      <c r="B260" s="31" t="s">
        <v>28</v>
      </c>
      <c r="C260" s="31" t="s">
        <v>424</v>
      </c>
      <c r="D260" s="30" t="s">
        <v>168</v>
      </c>
      <c r="E260" s="111">
        <v>141000</v>
      </c>
      <c r="F260" s="34" t="s">
        <v>425</v>
      </c>
      <c r="G260" s="89" t="s">
        <v>426</v>
      </c>
      <c r="H260" s="35">
        <v>45914</v>
      </c>
      <c r="I260" s="30">
        <v>0</v>
      </c>
      <c r="J260" s="30">
        <v>2726.5</v>
      </c>
      <c r="K260" s="32" t="s">
        <v>83</v>
      </c>
      <c r="L260" s="30">
        <f t="shared" si="21"/>
        <v>2726.5</v>
      </c>
      <c r="M260" s="30" t="s">
        <v>58</v>
      </c>
      <c r="N260" s="37">
        <f ca="1" t="shared" si="19"/>
        <v>11.2666666666667</v>
      </c>
      <c r="O260" s="61">
        <v>46266</v>
      </c>
      <c r="P260" s="30">
        <f t="shared" si="22"/>
        <v>2726.5</v>
      </c>
      <c r="Q260" s="31" t="s">
        <v>61</v>
      </c>
      <c r="R260" s="30" t="s">
        <v>436</v>
      </c>
      <c r="S260" s="77" t="s">
        <v>38</v>
      </c>
      <c r="T260" s="77"/>
    </row>
    <row r="261" ht="57.6" spans="1:20">
      <c r="A261" s="30">
        <v>229</v>
      </c>
      <c r="B261" s="31" t="s">
        <v>28</v>
      </c>
      <c r="C261" s="31" t="s">
        <v>424</v>
      </c>
      <c r="D261" s="30" t="s">
        <v>168</v>
      </c>
      <c r="E261" s="111">
        <v>141000</v>
      </c>
      <c r="F261" s="34" t="s">
        <v>425</v>
      </c>
      <c r="G261" s="89" t="s">
        <v>426</v>
      </c>
      <c r="H261" s="35">
        <v>45914</v>
      </c>
      <c r="I261" s="30">
        <v>0</v>
      </c>
      <c r="J261" s="30">
        <v>4729.1</v>
      </c>
      <c r="K261" s="32" t="s">
        <v>83</v>
      </c>
      <c r="L261" s="30">
        <f t="shared" si="21"/>
        <v>4729.1</v>
      </c>
      <c r="M261" s="30" t="s">
        <v>58</v>
      </c>
      <c r="N261" s="37">
        <f ca="1" t="shared" si="19"/>
        <v>11.2666666666667</v>
      </c>
      <c r="O261" s="61">
        <v>46266</v>
      </c>
      <c r="P261" s="30">
        <f t="shared" si="22"/>
        <v>4729.1</v>
      </c>
      <c r="Q261" s="31" t="s">
        <v>61</v>
      </c>
      <c r="R261" s="30" t="s">
        <v>437</v>
      </c>
      <c r="S261" s="39" t="s">
        <v>38</v>
      </c>
      <c r="T261" s="77"/>
    </row>
    <row r="262" ht="57.6" spans="1:20">
      <c r="A262" s="30">
        <v>230</v>
      </c>
      <c r="B262" s="31" t="s">
        <v>28</v>
      </c>
      <c r="C262" s="31" t="s">
        <v>424</v>
      </c>
      <c r="D262" s="30" t="s">
        <v>168</v>
      </c>
      <c r="E262" s="111">
        <v>141000</v>
      </c>
      <c r="F262" s="34" t="s">
        <v>425</v>
      </c>
      <c r="G262" s="89" t="s">
        <v>426</v>
      </c>
      <c r="H262" s="35">
        <v>45914</v>
      </c>
      <c r="I262" s="30">
        <v>0</v>
      </c>
      <c r="J262" s="30">
        <v>5856.8</v>
      </c>
      <c r="K262" s="32" t="s">
        <v>83</v>
      </c>
      <c r="L262" s="30">
        <f t="shared" si="21"/>
        <v>5856.8</v>
      </c>
      <c r="M262" s="30" t="s">
        <v>58</v>
      </c>
      <c r="N262" s="37">
        <f ca="1" t="shared" ref="N262:N281" si="23">(TODAY()-H262)/30</f>
        <v>11.2666666666667</v>
      </c>
      <c r="O262" s="61">
        <v>46266</v>
      </c>
      <c r="P262" s="30">
        <f t="shared" si="22"/>
        <v>5856.8</v>
      </c>
      <c r="Q262" s="31" t="s">
        <v>61</v>
      </c>
      <c r="R262" s="30" t="s">
        <v>438</v>
      </c>
      <c r="S262" s="39" t="s">
        <v>38</v>
      </c>
      <c r="T262" s="77"/>
    </row>
    <row r="263" ht="57.6" spans="1:20">
      <c r="A263" s="30">
        <v>231</v>
      </c>
      <c r="B263" s="31" t="s">
        <v>28</v>
      </c>
      <c r="C263" s="31" t="s">
        <v>424</v>
      </c>
      <c r="D263" s="30" t="s">
        <v>168</v>
      </c>
      <c r="E263" s="111">
        <v>141000</v>
      </c>
      <c r="F263" s="34" t="s">
        <v>425</v>
      </c>
      <c r="G263" s="89" t="s">
        <v>426</v>
      </c>
      <c r="H263" s="35">
        <v>45914</v>
      </c>
      <c r="I263" s="30">
        <v>0</v>
      </c>
      <c r="J263" s="30">
        <v>7867.6</v>
      </c>
      <c r="K263" s="32" t="s">
        <v>83</v>
      </c>
      <c r="L263" s="30">
        <f t="shared" si="21"/>
        <v>7867.6</v>
      </c>
      <c r="M263" s="30" t="s">
        <v>58</v>
      </c>
      <c r="N263" s="37">
        <f ca="1" t="shared" si="23"/>
        <v>11.2666666666667</v>
      </c>
      <c r="O263" s="61">
        <v>46266</v>
      </c>
      <c r="P263" s="30">
        <f t="shared" si="22"/>
        <v>7867.6</v>
      </c>
      <c r="Q263" s="31" t="s">
        <v>61</v>
      </c>
      <c r="R263" s="30" t="s">
        <v>439</v>
      </c>
      <c r="S263" s="39" t="s">
        <v>38</v>
      </c>
      <c r="T263" s="77"/>
    </row>
    <row r="264" ht="57.6" spans="1:20">
      <c r="A264" s="30">
        <v>232</v>
      </c>
      <c r="B264" s="31" t="s">
        <v>28</v>
      </c>
      <c r="C264" s="31" t="s">
        <v>424</v>
      </c>
      <c r="D264" s="30" t="s">
        <v>168</v>
      </c>
      <c r="E264" s="111">
        <v>141000</v>
      </c>
      <c r="F264" s="34" t="s">
        <v>425</v>
      </c>
      <c r="G264" s="89" t="s">
        <v>426</v>
      </c>
      <c r="H264" s="35">
        <v>45914</v>
      </c>
      <c r="I264" s="30">
        <v>0</v>
      </c>
      <c r="J264" s="30">
        <v>4628.15</v>
      </c>
      <c r="K264" s="32" t="s">
        <v>83</v>
      </c>
      <c r="L264" s="30">
        <f t="shared" si="21"/>
        <v>4628.15</v>
      </c>
      <c r="M264" s="30" t="s">
        <v>58</v>
      </c>
      <c r="N264" s="37">
        <f ca="1" t="shared" si="23"/>
        <v>11.2666666666667</v>
      </c>
      <c r="O264" s="61">
        <v>46266</v>
      </c>
      <c r="P264" s="30">
        <f t="shared" si="22"/>
        <v>4628.15</v>
      </c>
      <c r="Q264" s="31" t="s">
        <v>61</v>
      </c>
      <c r="R264" s="30" t="s">
        <v>440</v>
      </c>
      <c r="S264" s="39" t="s">
        <v>38</v>
      </c>
      <c r="T264" s="77"/>
    </row>
    <row r="265" ht="57.6" spans="1:20">
      <c r="A265" s="30">
        <v>233</v>
      </c>
      <c r="B265" s="31" t="s">
        <v>28</v>
      </c>
      <c r="C265" s="31" t="s">
        <v>424</v>
      </c>
      <c r="D265" s="30" t="s">
        <v>168</v>
      </c>
      <c r="E265" s="111">
        <v>141000</v>
      </c>
      <c r="F265" s="34" t="s">
        <v>425</v>
      </c>
      <c r="G265" s="89" t="s">
        <v>426</v>
      </c>
      <c r="H265" s="35">
        <v>45914</v>
      </c>
      <c r="I265" s="30">
        <v>0</v>
      </c>
      <c r="J265" s="30">
        <v>9601</v>
      </c>
      <c r="K265" s="32" t="s">
        <v>83</v>
      </c>
      <c r="L265" s="30">
        <f t="shared" si="21"/>
        <v>9601</v>
      </c>
      <c r="M265" s="30" t="s">
        <v>58</v>
      </c>
      <c r="N265" s="37">
        <f ca="1" t="shared" si="23"/>
        <v>11.2666666666667</v>
      </c>
      <c r="O265" s="61">
        <v>46266</v>
      </c>
      <c r="P265" s="30">
        <f t="shared" si="22"/>
        <v>9601</v>
      </c>
      <c r="Q265" s="31" t="s">
        <v>61</v>
      </c>
      <c r="R265" s="30" t="s">
        <v>441</v>
      </c>
      <c r="S265" s="39" t="s">
        <v>38</v>
      </c>
      <c r="T265" s="77"/>
    </row>
    <row r="266" ht="57.6" spans="1:20">
      <c r="A266" s="30">
        <v>235</v>
      </c>
      <c r="B266" s="31" t="s">
        <v>28</v>
      </c>
      <c r="C266" s="31" t="s">
        <v>424</v>
      </c>
      <c r="D266" s="30" t="s">
        <v>168</v>
      </c>
      <c r="E266" s="111">
        <v>141000</v>
      </c>
      <c r="F266" s="34" t="s">
        <v>425</v>
      </c>
      <c r="G266" s="89" t="s">
        <v>426</v>
      </c>
      <c r="H266" s="35">
        <v>45914</v>
      </c>
      <c r="I266" s="30">
        <v>0</v>
      </c>
      <c r="J266" s="30">
        <v>4493.55</v>
      </c>
      <c r="K266" s="32" t="s">
        <v>83</v>
      </c>
      <c r="L266" s="30">
        <f t="shared" si="21"/>
        <v>4493.55</v>
      </c>
      <c r="M266" s="30" t="s">
        <v>58</v>
      </c>
      <c r="N266" s="37">
        <f ca="1" t="shared" si="23"/>
        <v>11.2666666666667</v>
      </c>
      <c r="O266" s="61">
        <v>46266</v>
      </c>
      <c r="P266" s="30">
        <f t="shared" si="22"/>
        <v>4493.55</v>
      </c>
      <c r="Q266" s="31" t="s">
        <v>61</v>
      </c>
      <c r="R266" s="30" t="s">
        <v>442</v>
      </c>
      <c r="S266" s="39" t="s">
        <v>38</v>
      </c>
      <c r="T266" s="77"/>
    </row>
    <row r="267" ht="57.6" spans="1:20">
      <c r="A267" s="30">
        <v>239</v>
      </c>
      <c r="B267" s="31" t="s">
        <v>28</v>
      </c>
      <c r="C267" s="31" t="s">
        <v>424</v>
      </c>
      <c r="D267" s="30" t="s">
        <v>168</v>
      </c>
      <c r="E267" s="111">
        <v>141000</v>
      </c>
      <c r="F267" s="34" t="s">
        <v>425</v>
      </c>
      <c r="G267" s="89" t="s">
        <v>426</v>
      </c>
      <c r="H267" s="35">
        <v>45914</v>
      </c>
      <c r="I267" s="30">
        <v>0</v>
      </c>
      <c r="J267" s="30">
        <v>2726.5</v>
      </c>
      <c r="K267" s="32" t="s">
        <v>83</v>
      </c>
      <c r="L267" s="30">
        <f t="shared" si="21"/>
        <v>2726.5</v>
      </c>
      <c r="M267" s="30" t="s">
        <v>58</v>
      </c>
      <c r="N267" s="37">
        <f ca="1" t="shared" si="23"/>
        <v>11.2666666666667</v>
      </c>
      <c r="O267" s="61">
        <v>46266</v>
      </c>
      <c r="P267" s="30">
        <f t="shared" si="22"/>
        <v>2726.5</v>
      </c>
      <c r="Q267" s="31" t="s">
        <v>61</v>
      </c>
      <c r="R267" s="30" t="s">
        <v>443</v>
      </c>
      <c r="S267" s="39" t="s">
        <v>38</v>
      </c>
      <c r="T267" s="77"/>
    </row>
    <row r="268" ht="57.6" spans="1:20">
      <c r="A268" s="30">
        <v>238</v>
      </c>
      <c r="B268" s="31" t="s">
        <v>28</v>
      </c>
      <c r="C268" s="31" t="s">
        <v>444</v>
      </c>
      <c r="D268" s="30" t="s">
        <v>413</v>
      </c>
      <c r="E268" s="111"/>
      <c r="F268" s="175" t="s">
        <v>41</v>
      </c>
      <c r="G268" s="168" t="s">
        <v>41</v>
      </c>
      <c r="H268" s="35">
        <v>45917</v>
      </c>
      <c r="I268" s="30">
        <v>0</v>
      </c>
      <c r="J268" s="30">
        <v>4400</v>
      </c>
      <c r="K268" s="32" t="s">
        <v>34</v>
      </c>
      <c r="L268" s="30">
        <v>0</v>
      </c>
      <c r="M268" s="30" t="s">
        <v>58</v>
      </c>
      <c r="N268" s="37">
        <f ca="1" t="shared" si="23"/>
        <v>11.1666666666667</v>
      </c>
      <c r="O268" s="61">
        <v>46266</v>
      </c>
      <c r="P268" s="30">
        <f t="shared" si="22"/>
        <v>4400</v>
      </c>
      <c r="Q268" s="34" t="s">
        <v>420</v>
      </c>
      <c r="R268" s="30" t="s">
        <v>445</v>
      </c>
      <c r="S268" s="39" t="s">
        <v>38</v>
      </c>
      <c r="T268" s="77"/>
    </row>
    <row r="269" ht="43.2" spans="1:20">
      <c r="A269" s="30">
        <v>236</v>
      </c>
      <c r="B269" s="31" t="s">
        <v>28</v>
      </c>
      <c r="C269" s="31" t="s">
        <v>60</v>
      </c>
      <c r="D269" s="30" t="s">
        <v>57</v>
      </c>
      <c r="E269" s="167" t="s">
        <v>41</v>
      </c>
      <c r="F269" s="175" t="s">
        <v>41</v>
      </c>
      <c r="G269" s="168" t="s">
        <v>41</v>
      </c>
      <c r="H269" s="35">
        <v>45917</v>
      </c>
      <c r="I269" s="30">
        <v>0</v>
      </c>
      <c r="J269" s="30">
        <v>8119.8</v>
      </c>
      <c r="K269" s="32" t="s">
        <v>34</v>
      </c>
      <c r="L269" s="30">
        <v>0</v>
      </c>
      <c r="M269" s="30" t="s">
        <v>42</v>
      </c>
      <c r="N269" s="37">
        <f ca="1" t="shared" si="23"/>
        <v>11.1666666666667</v>
      </c>
      <c r="O269" s="61">
        <v>46266</v>
      </c>
      <c r="P269" s="30">
        <f t="shared" si="22"/>
        <v>8119.8</v>
      </c>
      <c r="Q269" s="34" t="s">
        <v>420</v>
      </c>
      <c r="R269" s="30" t="s">
        <v>446</v>
      </c>
      <c r="S269" s="39" t="s">
        <v>38</v>
      </c>
      <c r="T269" s="77"/>
    </row>
    <row r="270" ht="43.2" spans="1:20">
      <c r="A270" s="65">
        <v>219</v>
      </c>
      <c r="B270" s="79" t="s">
        <v>28</v>
      </c>
      <c r="C270" s="79" t="s">
        <v>49</v>
      </c>
      <c r="D270" s="82" t="s">
        <v>57</v>
      </c>
      <c r="E270" s="171" t="s">
        <v>31</v>
      </c>
      <c r="F270" s="57" t="s">
        <v>345</v>
      </c>
      <c r="G270" s="83" t="s">
        <v>346</v>
      </c>
      <c r="H270" s="68">
        <v>45917</v>
      </c>
      <c r="I270" s="65">
        <v>0</v>
      </c>
      <c r="J270" s="82">
        <v>7000</v>
      </c>
      <c r="K270" s="70" t="s">
        <v>34</v>
      </c>
      <c r="L270" s="65">
        <v>0</v>
      </c>
      <c r="M270" s="82" t="s">
        <v>35</v>
      </c>
      <c r="N270" s="37">
        <f ca="1" t="shared" si="23"/>
        <v>11.1666666666667</v>
      </c>
      <c r="O270" s="71">
        <v>46266</v>
      </c>
      <c r="P270" s="65">
        <f t="shared" si="22"/>
        <v>7000</v>
      </c>
      <c r="Q270" s="66" t="s">
        <v>201</v>
      </c>
      <c r="R270" s="82" t="s">
        <v>447</v>
      </c>
      <c r="S270" s="58" t="s">
        <v>55</v>
      </c>
      <c r="T270" s="5"/>
    </row>
    <row r="271" ht="43.2" spans="1:20">
      <c r="A271" s="65">
        <v>403</v>
      </c>
      <c r="B271" s="79" t="s">
        <v>28</v>
      </c>
      <c r="C271" s="79" t="s">
        <v>93</v>
      </c>
      <c r="D271" s="82" t="s">
        <v>57</v>
      </c>
      <c r="E271" s="67" t="s">
        <v>31</v>
      </c>
      <c r="F271" s="57" t="s">
        <v>150</v>
      </c>
      <c r="G271" s="83" t="s">
        <v>151</v>
      </c>
      <c r="H271" s="76">
        <v>45917</v>
      </c>
      <c r="I271" s="65">
        <v>0</v>
      </c>
      <c r="J271" s="82">
        <v>4240</v>
      </c>
      <c r="K271" s="70" t="s">
        <v>34</v>
      </c>
      <c r="L271" s="65">
        <v>0</v>
      </c>
      <c r="M271" s="82" t="s">
        <v>47</v>
      </c>
      <c r="N271" s="37">
        <f ca="1" t="shared" si="23"/>
        <v>11.1666666666667</v>
      </c>
      <c r="O271" s="71" t="s">
        <v>152</v>
      </c>
      <c r="P271" s="65">
        <v>4240</v>
      </c>
      <c r="Q271" s="66" t="s">
        <v>53</v>
      </c>
      <c r="R271" s="82" t="s">
        <v>448</v>
      </c>
      <c r="S271" s="58" t="s">
        <v>103</v>
      </c>
      <c r="T271" s="5"/>
    </row>
    <row r="272" ht="57.6" spans="1:20">
      <c r="A272" s="30">
        <v>223</v>
      </c>
      <c r="B272" s="31" t="s">
        <v>28</v>
      </c>
      <c r="C272" s="31" t="s">
        <v>424</v>
      </c>
      <c r="D272" s="30" t="s">
        <v>168</v>
      </c>
      <c r="E272" s="111">
        <v>141000</v>
      </c>
      <c r="F272" s="34" t="s">
        <v>425</v>
      </c>
      <c r="G272" s="89" t="s">
        <v>426</v>
      </c>
      <c r="H272" s="35">
        <v>45917</v>
      </c>
      <c r="I272" s="30">
        <v>0</v>
      </c>
      <c r="J272" s="30">
        <v>20438</v>
      </c>
      <c r="K272" s="32" t="s">
        <v>83</v>
      </c>
      <c r="L272" s="30">
        <f>J272</f>
        <v>20438</v>
      </c>
      <c r="M272" s="30" t="s">
        <v>58</v>
      </c>
      <c r="N272" s="37">
        <f ca="1" t="shared" si="23"/>
        <v>11.1666666666667</v>
      </c>
      <c r="O272" s="61">
        <v>46266</v>
      </c>
      <c r="P272" s="30">
        <f>J272</f>
        <v>20438</v>
      </c>
      <c r="Q272" s="31" t="s">
        <v>61</v>
      </c>
      <c r="R272" s="30" t="s">
        <v>449</v>
      </c>
      <c r="S272" s="39" t="s">
        <v>38</v>
      </c>
      <c r="T272" s="77"/>
    </row>
    <row r="273" ht="57.6" spans="1:20">
      <c r="A273" s="65">
        <v>224</v>
      </c>
      <c r="B273" s="79" t="s">
        <v>28</v>
      </c>
      <c r="C273" s="79" t="s">
        <v>450</v>
      </c>
      <c r="D273" s="82" t="s">
        <v>413</v>
      </c>
      <c r="E273" s="171" t="s">
        <v>41</v>
      </c>
      <c r="F273" s="176" t="s">
        <v>41</v>
      </c>
      <c r="G273" s="172" t="s">
        <v>41</v>
      </c>
      <c r="H273" s="68">
        <v>45919</v>
      </c>
      <c r="I273" s="65">
        <v>0</v>
      </c>
      <c r="J273" s="82">
        <v>57816</v>
      </c>
      <c r="K273" s="70" t="s">
        <v>34</v>
      </c>
      <c r="L273" s="65">
        <v>0</v>
      </c>
      <c r="M273" s="82" t="s">
        <v>47</v>
      </c>
      <c r="N273" s="37">
        <f ca="1" t="shared" si="23"/>
        <v>11.1</v>
      </c>
      <c r="O273" s="71">
        <v>46357</v>
      </c>
      <c r="P273" s="65">
        <f>J273</f>
        <v>57816</v>
      </c>
      <c r="Q273" s="66" t="s">
        <v>451</v>
      </c>
      <c r="R273" s="82" t="s">
        <v>452</v>
      </c>
      <c r="S273" s="58" t="s">
        <v>55</v>
      </c>
      <c r="T273" s="5"/>
    </row>
    <row r="274" ht="57.6" spans="1:20">
      <c r="A274" s="65">
        <v>225</v>
      </c>
      <c r="B274" s="79" t="s">
        <v>28</v>
      </c>
      <c r="C274" s="79" t="s">
        <v>450</v>
      </c>
      <c r="D274" s="82" t="s">
        <v>413</v>
      </c>
      <c r="E274" s="171" t="s">
        <v>41</v>
      </c>
      <c r="F274" s="176" t="s">
        <v>41</v>
      </c>
      <c r="G274" s="172" t="s">
        <v>41</v>
      </c>
      <c r="H274" s="68">
        <v>45919</v>
      </c>
      <c r="I274" s="65">
        <v>0</v>
      </c>
      <c r="J274" s="82">
        <v>111276</v>
      </c>
      <c r="K274" s="70" t="s">
        <v>34</v>
      </c>
      <c r="L274" s="65">
        <v>0</v>
      </c>
      <c r="M274" s="82" t="s">
        <v>47</v>
      </c>
      <c r="N274" s="37">
        <f ca="1" t="shared" si="23"/>
        <v>11.1</v>
      </c>
      <c r="O274" s="71">
        <v>46357</v>
      </c>
      <c r="P274" s="65">
        <f>J274</f>
        <v>111276</v>
      </c>
      <c r="Q274" s="66" t="s">
        <v>451</v>
      </c>
      <c r="R274" s="82" t="s">
        <v>452</v>
      </c>
      <c r="S274" s="58" t="s">
        <v>55</v>
      </c>
      <c r="T274" s="5"/>
    </row>
    <row r="275" ht="57.6" spans="1:20">
      <c r="A275" s="65">
        <v>226</v>
      </c>
      <c r="B275" s="79" t="s">
        <v>28</v>
      </c>
      <c r="C275" s="79" t="s">
        <v>450</v>
      </c>
      <c r="D275" s="82" t="s">
        <v>413</v>
      </c>
      <c r="E275" s="171" t="s">
        <v>41</v>
      </c>
      <c r="F275" s="176" t="s">
        <v>41</v>
      </c>
      <c r="G275" s="172" t="s">
        <v>41</v>
      </c>
      <c r="H275" s="68">
        <v>45919</v>
      </c>
      <c r="I275" s="65">
        <v>0</v>
      </c>
      <c r="J275" s="82">
        <v>79596</v>
      </c>
      <c r="K275" s="70" t="s">
        <v>34</v>
      </c>
      <c r="L275" s="65">
        <v>0</v>
      </c>
      <c r="M275" s="82" t="s">
        <v>47</v>
      </c>
      <c r="N275" s="37">
        <f ca="1" t="shared" si="23"/>
        <v>11.1</v>
      </c>
      <c r="O275" s="71">
        <v>46357</v>
      </c>
      <c r="P275" s="65">
        <f>J275</f>
        <v>79596</v>
      </c>
      <c r="Q275" s="66" t="s">
        <v>451</v>
      </c>
      <c r="R275" s="82" t="s">
        <v>452</v>
      </c>
      <c r="S275" s="58" t="s">
        <v>55</v>
      </c>
      <c r="T275" s="5"/>
    </row>
    <row r="276" ht="86.4" spans="1:20">
      <c r="A276" s="65">
        <v>213</v>
      </c>
      <c r="B276" s="79" t="s">
        <v>28</v>
      </c>
      <c r="C276" s="79" t="s">
        <v>130</v>
      </c>
      <c r="D276" s="82" t="s">
        <v>413</v>
      </c>
      <c r="E276" s="171" t="s">
        <v>41</v>
      </c>
      <c r="F276" s="176" t="s">
        <v>41</v>
      </c>
      <c r="G276" s="172" t="s">
        <v>41</v>
      </c>
      <c r="H276" s="68">
        <v>45923</v>
      </c>
      <c r="I276" s="65">
        <v>0</v>
      </c>
      <c r="J276" s="82">
        <v>8360</v>
      </c>
      <c r="K276" s="70" t="s">
        <v>34</v>
      </c>
      <c r="L276" s="65">
        <v>0</v>
      </c>
      <c r="M276" s="82" t="s">
        <v>79</v>
      </c>
      <c r="N276" s="37">
        <f ca="1" t="shared" si="23"/>
        <v>10.9666666666667</v>
      </c>
      <c r="O276" s="71">
        <v>46266</v>
      </c>
      <c r="P276" s="65">
        <f>J276</f>
        <v>8360</v>
      </c>
      <c r="Q276" s="66" t="s">
        <v>131</v>
      </c>
      <c r="R276" s="82" t="s">
        <v>453</v>
      </c>
      <c r="S276" s="58" t="s">
        <v>55</v>
      </c>
      <c r="T276" s="5"/>
    </row>
    <row r="277" ht="43.2" spans="1:20">
      <c r="A277" s="65">
        <v>487</v>
      </c>
      <c r="B277" s="79" t="s">
        <v>28</v>
      </c>
      <c r="C277" s="79" t="s">
        <v>49</v>
      </c>
      <c r="D277" s="82" t="s">
        <v>57</v>
      </c>
      <c r="E277" s="171" t="s">
        <v>31</v>
      </c>
      <c r="F277" s="57" t="s">
        <v>454</v>
      </c>
      <c r="G277" s="83" t="s">
        <v>346</v>
      </c>
      <c r="H277" s="76">
        <v>45926</v>
      </c>
      <c r="I277" s="65">
        <v>0</v>
      </c>
      <c r="J277" s="82">
        <v>26946</v>
      </c>
      <c r="K277" s="70" t="s">
        <v>34</v>
      </c>
      <c r="L277" s="65">
        <v>0</v>
      </c>
      <c r="M277" s="82" t="s">
        <v>35</v>
      </c>
      <c r="N277" s="37">
        <f ca="1" t="shared" si="23"/>
        <v>10.8666666666667</v>
      </c>
      <c r="O277" s="57" t="s">
        <v>52</v>
      </c>
      <c r="P277" s="65">
        <v>26946</v>
      </c>
      <c r="Q277" s="66" t="s">
        <v>201</v>
      </c>
      <c r="R277" s="82" t="s">
        <v>455</v>
      </c>
      <c r="S277" s="5"/>
    </row>
    <row r="278" ht="43.2" spans="1:20">
      <c r="A278" s="65">
        <v>349</v>
      </c>
      <c r="B278" s="79" t="s">
        <v>28</v>
      </c>
      <c r="C278" s="105" t="s">
        <v>456</v>
      </c>
      <c r="D278" s="82" t="s">
        <v>413</v>
      </c>
      <c r="E278" s="171" t="s">
        <v>41</v>
      </c>
      <c r="F278" s="171" t="s">
        <v>41</v>
      </c>
      <c r="G278" s="172" t="s">
        <v>41</v>
      </c>
      <c r="H278" s="76">
        <v>45929</v>
      </c>
      <c r="I278" s="65">
        <v>0</v>
      </c>
      <c r="J278" s="82">
        <v>20800</v>
      </c>
      <c r="K278" s="70" t="s">
        <v>34</v>
      </c>
      <c r="L278" s="65">
        <v>0</v>
      </c>
      <c r="M278" s="82" t="s">
        <v>35</v>
      </c>
      <c r="N278" s="37">
        <f ca="1" t="shared" si="23"/>
        <v>10.7666666666667</v>
      </c>
      <c r="O278" s="57" t="s">
        <v>52</v>
      </c>
      <c r="P278" s="82">
        <v>20800</v>
      </c>
      <c r="Q278" s="57" t="s">
        <v>145</v>
      </c>
      <c r="R278" s="82" t="s">
        <v>457</v>
      </c>
      <c r="S278" s="58" t="s">
        <v>103</v>
      </c>
      <c r="T278" s="5"/>
    </row>
    <row r="279" ht="43.2" spans="1:20">
      <c r="A279" s="65">
        <v>488</v>
      </c>
      <c r="B279" s="79" t="s">
        <v>28</v>
      </c>
      <c r="C279" s="79" t="s">
        <v>49</v>
      </c>
      <c r="D279" s="82" t="s">
        <v>57</v>
      </c>
      <c r="E279" s="67" t="s">
        <v>31</v>
      </c>
      <c r="F279" s="67" t="s">
        <v>458</v>
      </c>
      <c r="G279" s="80" t="s">
        <v>305</v>
      </c>
      <c r="H279" s="76">
        <v>45929</v>
      </c>
      <c r="I279" s="65">
        <v>0</v>
      </c>
      <c r="J279" s="82">
        <v>7661</v>
      </c>
      <c r="K279" s="70" t="s">
        <v>34</v>
      </c>
      <c r="L279" s="65">
        <v>0</v>
      </c>
      <c r="M279" s="82" t="s">
        <v>79</v>
      </c>
      <c r="N279" s="37">
        <f ca="1" t="shared" si="23"/>
        <v>10.7666666666667</v>
      </c>
      <c r="O279" s="57" t="s">
        <v>52</v>
      </c>
      <c r="P279" s="65">
        <v>7661</v>
      </c>
      <c r="Q279" s="66" t="s">
        <v>201</v>
      </c>
      <c r="R279" s="82" t="s">
        <v>459</v>
      </c>
      <c r="S279" s="58"/>
      <c r="T279" s="5" t="s">
        <v>460</v>
      </c>
    </row>
    <row r="280" ht="57.6" spans="1:20">
      <c r="A280" s="30">
        <v>243</v>
      </c>
      <c r="B280" s="31" t="s">
        <v>28</v>
      </c>
      <c r="C280" s="31" t="s">
        <v>461</v>
      </c>
      <c r="D280" s="30" t="s">
        <v>76</v>
      </c>
      <c r="E280" s="167" t="s">
        <v>41</v>
      </c>
      <c r="F280" s="175" t="s">
        <v>41</v>
      </c>
      <c r="G280" s="168" t="s">
        <v>41</v>
      </c>
      <c r="H280" s="35">
        <v>45930</v>
      </c>
      <c r="I280" s="30">
        <v>4400</v>
      </c>
      <c r="J280" s="30">
        <v>5940</v>
      </c>
      <c r="K280" s="32" t="s">
        <v>34</v>
      </c>
      <c r="L280" s="30">
        <v>0</v>
      </c>
      <c r="M280" s="30" t="s">
        <v>47</v>
      </c>
      <c r="N280" s="37">
        <f ca="1" t="shared" si="23"/>
        <v>10.7333333333333</v>
      </c>
      <c r="O280" s="61">
        <v>46266</v>
      </c>
      <c r="P280" s="30">
        <f>J280</f>
        <v>5940</v>
      </c>
      <c r="Q280" s="34" t="s">
        <v>420</v>
      </c>
      <c r="R280" s="30" t="s">
        <v>462</v>
      </c>
      <c r="S280" s="39" t="s">
        <v>38</v>
      </c>
      <c r="T280" s="77"/>
    </row>
    <row r="281" ht="57.6" spans="1:20">
      <c r="A281" s="30">
        <v>244</v>
      </c>
      <c r="B281" s="31" t="s">
        <v>28</v>
      </c>
      <c r="C281" s="31" t="s">
        <v>461</v>
      </c>
      <c r="D281" s="30" t="s">
        <v>76</v>
      </c>
      <c r="E281" s="167" t="s">
        <v>41</v>
      </c>
      <c r="F281" s="175" t="s">
        <v>41</v>
      </c>
      <c r="G281" s="168" t="s">
        <v>41</v>
      </c>
      <c r="H281" s="35">
        <v>45930</v>
      </c>
      <c r="I281" s="30">
        <v>4400</v>
      </c>
      <c r="J281" s="30">
        <f>8448-I281</f>
        <v>4048</v>
      </c>
      <c r="K281" s="32" t="s">
        <v>34</v>
      </c>
      <c r="L281" s="30">
        <v>0</v>
      </c>
      <c r="M281" s="30" t="s">
        <v>47</v>
      </c>
      <c r="N281" s="37">
        <f ca="1" t="shared" si="23"/>
        <v>10.7333333333333</v>
      </c>
      <c r="O281" s="61">
        <v>46266</v>
      </c>
      <c r="P281" s="30">
        <f>J281</f>
        <v>4048</v>
      </c>
      <c r="Q281" s="34" t="s">
        <v>420</v>
      </c>
      <c r="R281" s="30" t="s">
        <v>462</v>
      </c>
      <c r="S281" s="39" t="s">
        <v>38</v>
      </c>
      <c r="T281" s="77"/>
    </row>
    <row r="282" ht="43.2" spans="1:20">
      <c r="A282" s="65">
        <v>246</v>
      </c>
      <c r="B282" s="79" t="s">
        <v>28</v>
      </c>
      <c r="C282" s="79" t="s">
        <v>456</v>
      </c>
      <c r="D282" s="82" t="s">
        <v>413</v>
      </c>
      <c r="E282" s="171" t="s">
        <v>41</v>
      </c>
      <c r="F282" s="176" t="s">
        <v>41</v>
      </c>
      <c r="G282" s="172" t="s">
        <v>41</v>
      </c>
      <c r="H282" s="68">
        <v>45944</v>
      </c>
      <c r="I282" s="65">
        <v>0</v>
      </c>
      <c r="J282" s="82">
        <v>16440</v>
      </c>
      <c r="K282" s="70" t="s">
        <v>34</v>
      </c>
      <c r="L282" s="65">
        <v>0</v>
      </c>
      <c r="M282" s="82" t="s">
        <v>47</v>
      </c>
      <c r="N282" s="37">
        <f ca="1" t="shared" ref="N282:N329" si="24">(TODAY()-H282)/30</f>
        <v>10.2666666666667</v>
      </c>
      <c r="O282" s="57" t="s">
        <v>52</v>
      </c>
      <c r="P282" s="65">
        <f>J282</f>
        <v>16440</v>
      </c>
      <c r="Q282" s="52" t="s">
        <v>53</v>
      </c>
      <c r="R282" s="82" t="s">
        <v>463</v>
      </c>
      <c r="S282" s="58" t="s">
        <v>103</v>
      </c>
      <c r="T282" s="5"/>
    </row>
    <row r="283" ht="43.2" spans="1:20">
      <c r="A283" s="65">
        <v>247</v>
      </c>
      <c r="B283" s="79" t="s">
        <v>28</v>
      </c>
      <c r="C283" s="79" t="s">
        <v>456</v>
      </c>
      <c r="D283" s="82" t="s">
        <v>413</v>
      </c>
      <c r="E283" s="171" t="s">
        <v>41</v>
      </c>
      <c r="F283" s="176" t="s">
        <v>41</v>
      </c>
      <c r="G283" s="172" t="s">
        <v>41</v>
      </c>
      <c r="H283" s="68">
        <v>45944</v>
      </c>
      <c r="I283" s="65">
        <v>0</v>
      </c>
      <c r="J283" s="82">
        <v>4400</v>
      </c>
      <c r="K283" s="70" t="s">
        <v>34</v>
      </c>
      <c r="L283" s="65">
        <v>0</v>
      </c>
      <c r="M283" s="82" t="s">
        <v>47</v>
      </c>
      <c r="N283" s="37">
        <f ca="1" t="shared" si="24"/>
        <v>10.2666666666667</v>
      </c>
      <c r="O283" s="57" t="s">
        <v>52</v>
      </c>
      <c r="P283" s="65">
        <f>J283</f>
        <v>4400</v>
      </c>
      <c r="Q283" s="52" t="s">
        <v>53</v>
      </c>
      <c r="R283" s="82" t="s">
        <v>463</v>
      </c>
      <c r="S283" s="58" t="s">
        <v>103</v>
      </c>
      <c r="T283" s="5"/>
    </row>
    <row r="284" ht="43.2" spans="1:20">
      <c r="A284" s="65">
        <v>348</v>
      </c>
      <c r="B284" s="66" t="s">
        <v>28</v>
      </c>
      <c r="C284" s="57" t="s">
        <v>456</v>
      </c>
      <c r="D284" s="65" t="s">
        <v>413</v>
      </c>
      <c r="E284" s="171" t="s">
        <v>41</v>
      </c>
      <c r="F284" s="171" t="s">
        <v>41</v>
      </c>
      <c r="G284" s="172" t="s">
        <v>41</v>
      </c>
      <c r="H284" s="76">
        <v>45944</v>
      </c>
      <c r="I284" s="65">
        <v>0</v>
      </c>
      <c r="J284" s="65">
        <v>8160</v>
      </c>
      <c r="K284" s="70" t="s">
        <v>34</v>
      </c>
      <c r="L284" s="65">
        <v>0</v>
      </c>
      <c r="M284" s="65" t="s">
        <v>97</v>
      </c>
      <c r="N284" s="37">
        <f ca="1" t="shared" si="24"/>
        <v>10.2666666666667</v>
      </c>
      <c r="O284" s="57" t="s">
        <v>52</v>
      </c>
      <c r="P284" s="65">
        <v>8160</v>
      </c>
      <c r="Q284" s="66" t="s">
        <v>53</v>
      </c>
      <c r="R284" s="65" t="s">
        <v>464</v>
      </c>
      <c r="S284" s="58" t="s">
        <v>103</v>
      </c>
      <c r="T284" s="78"/>
    </row>
    <row r="285" ht="43.2" spans="1:20">
      <c r="A285" s="65">
        <v>489</v>
      </c>
      <c r="B285" s="79" t="s">
        <v>28</v>
      </c>
      <c r="C285" s="79" t="s">
        <v>49</v>
      </c>
      <c r="D285" s="82" t="s">
        <v>57</v>
      </c>
      <c r="E285" s="67" t="s">
        <v>31</v>
      </c>
      <c r="F285" s="67" t="s">
        <v>458</v>
      </c>
      <c r="G285" s="80" t="s">
        <v>305</v>
      </c>
      <c r="H285" s="76">
        <v>45944</v>
      </c>
      <c r="I285" s="65">
        <v>0</v>
      </c>
      <c r="J285" s="82">
        <v>12000</v>
      </c>
      <c r="K285" s="70" t="s">
        <v>34</v>
      </c>
      <c r="L285" s="65">
        <v>0</v>
      </c>
      <c r="M285" s="82" t="s">
        <v>58</v>
      </c>
      <c r="N285" s="37">
        <f ca="1" t="shared" si="24"/>
        <v>10.2666666666667</v>
      </c>
      <c r="O285" s="57" t="s">
        <v>52</v>
      </c>
      <c r="P285" s="65">
        <v>12000</v>
      </c>
      <c r="Q285" s="66" t="s">
        <v>201</v>
      </c>
      <c r="R285" s="82" t="s">
        <v>465</v>
      </c>
      <c r="S285" s="58"/>
      <c r="T285" s="5" t="s">
        <v>460</v>
      </c>
    </row>
    <row r="286" ht="43.2" spans="1:20">
      <c r="A286" s="65">
        <v>490</v>
      </c>
      <c r="B286" s="79" t="s">
        <v>28</v>
      </c>
      <c r="C286" s="79" t="s">
        <v>49</v>
      </c>
      <c r="D286" s="82" t="s">
        <v>57</v>
      </c>
      <c r="E286" s="67" t="s">
        <v>31</v>
      </c>
      <c r="F286" s="67" t="s">
        <v>458</v>
      </c>
      <c r="G286" s="80" t="s">
        <v>305</v>
      </c>
      <c r="H286" s="76">
        <v>45944</v>
      </c>
      <c r="I286" s="65">
        <v>0</v>
      </c>
      <c r="J286" s="82">
        <v>12000</v>
      </c>
      <c r="K286" s="70" t="s">
        <v>34</v>
      </c>
      <c r="L286" s="65">
        <v>0</v>
      </c>
      <c r="M286" s="82" t="s">
        <v>42</v>
      </c>
      <c r="N286" s="37">
        <f ca="1" t="shared" si="24"/>
        <v>10.2666666666667</v>
      </c>
      <c r="O286" s="57" t="s">
        <v>52</v>
      </c>
      <c r="P286" s="65">
        <v>12000</v>
      </c>
      <c r="Q286" s="66" t="s">
        <v>201</v>
      </c>
      <c r="R286" s="82" t="s">
        <v>466</v>
      </c>
      <c r="S286" s="58"/>
      <c r="T286" s="5" t="s">
        <v>460</v>
      </c>
    </row>
    <row r="287" ht="43.2" spans="1:20">
      <c r="A287" s="65">
        <v>410</v>
      </c>
      <c r="B287" s="79" t="s">
        <v>28</v>
      </c>
      <c r="C287" s="79" t="s">
        <v>93</v>
      </c>
      <c r="D287" s="82" t="s">
        <v>57</v>
      </c>
      <c r="E287" s="67" t="s">
        <v>31</v>
      </c>
      <c r="F287" s="57" t="s">
        <v>150</v>
      </c>
      <c r="G287" s="83" t="s">
        <v>151</v>
      </c>
      <c r="H287" s="76">
        <v>45944</v>
      </c>
      <c r="I287" s="65">
        <v>0</v>
      </c>
      <c r="J287" s="82">
        <v>6877.28</v>
      </c>
      <c r="K287" s="70" t="s">
        <v>34</v>
      </c>
      <c r="L287" s="65">
        <v>0</v>
      </c>
      <c r="M287" s="82" t="s">
        <v>35</v>
      </c>
      <c r="N287" s="37">
        <f ca="1" t="shared" si="24"/>
        <v>10.2666666666667</v>
      </c>
      <c r="O287" s="71" t="s">
        <v>152</v>
      </c>
      <c r="P287" s="65">
        <v>6877.28</v>
      </c>
      <c r="Q287" s="66" t="s">
        <v>53</v>
      </c>
      <c r="R287" s="82" t="s">
        <v>467</v>
      </c>
      <c r="S287" s="58" t="s">
        <v>103</v>
      </c>
      <c r="T287" s="5"/>
    </row>
    <row r="288" ht="43.2" spans="1:20">
      <c r="A288" s="65">
        <v>568</v>
      </c>
      <c r="B288" s="79" t="s">
        <v>28</v>
      </c>
      <c r="C288" s="79" t="s">
        <v>29</v>
      </c>
      <c r="D288" s="79" t="s">
        <v>142</v>
      </c>
      <c r="E288" s="67"/>
      <c r="F288" s="67"/>
      <c r="G288" s="80"/>
      <c r="H288" s="76">
        <v>45947</v>
      </c>
      <c r="I288" s="65"/>
      <c r="J288" s="82">
        <v>20240</v>
      </c>
      <c r="K288" s="70"/>
      <c r="L288" s="65"/>
      <c r="M288" s="84" t="s">
        <v>79</v>
      </c>
      <c r="N288" s="37">
        <f ca="1" t="shared" si="24"/>
        <v>10.1666666666667</v>
      </c>
      <c r="O288" s="57" t="s">
        <v>52</v>
      </c>
      <c r="P288" s="65">
        <v>20240</v>
      </c>
      <c r="Q288" s="66" t="s">
        <v>468</v>
      </c>
      <c r="R288" s="82" t="s">
        <v>469</v>
      </c>
      <c r="S288" s="5"/>
    </row>
    <row r="289" ht="43.2" spans="1:20">
      <c r="A289" s="41">
        <v>249</v>
      </c>
      <c r="B289" s="42" t="s">
        <v>28</v>
      </c>
      <c r="C289" s="42" t="s">
        <v>470</v>
      </c>
      <c r="D289" s="41" t="s">
        <v>57</v>
      </c>
      <c r="E289" s="165" t="s">
        <v>41</v>
      </c>
      <c r="F289" s="174" t="s">
        <v>41</v>
      </c>
      <c r="G289" s="166" t="s">
        <v>41</v>
      </c>
      <c r="H289" s="74">
        <v>45951</v>
      </c>
      <c r="I289" s="41">
        <v>0</v>
      </c>
      <c r="J289" s="41">
        <v>7661</v>
      </c>
      <c r="K289" s="43" t="s">
        <v>34</v>
      </c>
      <c r="L289" s="41">
        <v>0</v>
      </c>
      <c r="M289" s="41" t="s">
        <v>35</v>
      </c>
      <c r="N289" s="37">
        <f ca="1" t="shared" si="24"/>
        <v>10.0333333333333</v>
      </c>
      <c r="O289" s="47">
        <v>46266</v>
      </c>
      <c r="P289" s="41">
        <f>J289</f>
        <v>7661</v>
      </c>
      <c r="Q289" s="42" t="s">
        <v>185</v>
      </c>
      <c r="R289" s="41" t="s">
        <v>471</v>
      </c>
      <c r="S289" s="48" t="s">
        <v>45</v>
      </c>
      <c r="T289" s="50"/>
    </row>
    <row r="290" ht="43.2" spans="1:20">
      <c r="A290" s="65">
        <v>491</v>
      </c>
      <c r="B290" s="79" t="s">
        <v>28</v>
      </c>
      <c r="C290" s="79" t="s">
        <v>49</v>
      </c>
      <c r="D290" s="82" t="s">
        <v>57</v>
      </c>
      <c r="E290" s="171" t="s">
        <v>31</v>
      </c>
      <c r="F290" s="57" t="s">
        <v>454</v>
      </c>
      <c r="G290" s="83" t="s">
        <v>346</v>
      </c>
      <c r="H290" s="76">
        <v>45951</v>
      </c>
      <c r="I290" s="65">
        <v>0</v>
      </c>
      <c r="J290" s="82">
        <v>33456</v>
      </c>
      <c r="K290" s="70" t="s">
        <v>34</v>
      </c>
      <c r="L290" s="65">
        <v>0</v>
      </c>
      <c r="M290" s="82" t="s">
        <v>35</v>
      </c>
      <c r="N290" s="37">
        <f ca="1" t="shared" si="24"/>
        <v>10.0333333333333</v>
      </c>
      <c r="O290" s="57" t="s">
        <v>52</v>
      </c>
      <c r="P290" s="65">
        <v>33456</v>
      </c>
      <c r="Q290" s="66" t="s">
        <v>201</v>
      </c>
      <c r="R290" s="82" t="s">
        <v>472</v>
      </c>
      <c r="S290" s="58"/>
      <c r="T290" s="5"/>
    </row>
    <row r="291" ht="43.2" spans="1:20">
      <c r="A291" s="65">
        <v>492</v>
      </c>
      <c r="B291" s="79" t="s">
        <v>28</v>
      </c>
      <c r="C291" s="79" t="s">
        <v>49</v>
      </c>
      <c r="D291" s="82" t="s">
        <v>57</v>
      </c>
      <c r="E291" s="67" t="s">
        <v>31</v>
      </c>
      <c r="F291" s="67" t="s">
        <v>458</v>
      </c>
      <c r="G291" s="80" t="s">
        <v>305</v>
      </c>
      <c r="H291" s="76">
        <v>45951</v>
      </c>
      <c r="I291" s="65">
        <v>0</v>
      </c>
      <c r="J291" s="82">
        <v>12000</v>
      </c>
      <c r="K291" s="70" t="s">
        <v>34</v>
      </c>
      <c r="L291" s="65">
        <v>0</v>
      </c>
      <c r="M291" s="82" t="s">
        <v>58</v>
      </c>
      <c r="N291" s="37">
        <f ca="1" t="shared" si="24"/>
        <v>10.0333333333333</v>
      </c>
      <c r="O291" s="57" t="s">
        <v>52</v>
      </c>
      <c r="P291" s="65">
        <v>12000</v>
      </c>
      <c r="Q291" s="66" t="s">
        <v>201</v>
      </c>
      <c r="R291" s="82" t="s">
        <v>473</v>
      </c>
      <c r="S291" s="58"/>
      <c r="T291" s="5" t="s">
        <v>460</v>
      </c>
    </row>
    <row r="292" ht="43.2" spans="1:20">
      <c r="A292" s="65">
        <v>519</v>
      </c>
      <c r="B292" s="79" t="s">
        <v>28</v>
      </c>
      <c r="C292" s="79" t="s">
        <v>29</v>
      </c>
      <c r="D292" s="82" t="s">
        <v>142</v>
      </c>
      <c r="E292" s="171" t="s">
        <v>41</v>
      </c>
      <c r="F292" s="171" t="s">
        <v>41</v>
      </c>
      <c r="G292" s="172" t="s">
        <v>41</v>
      </c>
      <c r="H292" s="76">
        <v>45951</v>
      </c>
      <c r="I292" s="65">
        <v>0</v>
      </c>
      <c r="J292" s="82">
        <v>30272</v>
      </c>
      <c r="K292" s="70" t="s">
        <v>34</v>
      </c>
      <c r="L292" s="65">
        <v>0</v>
      </c>
      <c r="M292" s="82" t="s">
        <v>35</v>
      </c>
      <c r="N292" s="37">
        <f ca="1" t="shared" si="24"/>
        <v>10.0333333333333</v>
      </c>
      <c r="O292" s="71">
        <v>46419</v>
      </c>
      <c r="P292" s="65">
        <v>30272</v>
      </c>
      <c r="Q292" s="66" t="s">
        <v>468</v>
      </c>
      <c r="R292" s="82" t="s">
        <v>474</v>
      </c>
      <c r="S292" s="5"/>
    </row>
    <row r="293" ht="43.2" spans="1:20">
      <c r="A293" s="65">
        <v>522</v>
      </c>
      <c r="B293" s="79" t="s">
        <v>28</v>
      </c>
      <c r="C293" s="79" t="s">
        <v>29</v>
      </c>
      <c r="D293" s="82" t="s">
        <v>142</v>
      </c>
      <c r="E293" s="171" t="s">
        <v>41</v>
      </c>
      <c r="F293" s="171" t="s">
        <v>41</v>
      </c>
      <c r="G293" s="172" t="s">
        <v>41</v>
      </c>
      <c r="H293" s="76">
        <v>45952</v>
      </c>
      <c r="I293" s="65">
        <v>0</v>
      </c>
      <c r="J293" s="82">
        <v>16280</v>
      </c>
      <c r="K293" s="70" t="s">
        <v>34</v>
      </c>
      <c r="L293" s="65">
        <v>0</v>
      </c>
      <c r="M293" s="82" t="s">
        <v>35</v>
      </c>
      <c r="N293" s="37">
        <f ca="1" t="shared" si="24"/>
        <v>10</v>
      </c>
      <c r="O293" s="71">
        <v>46419</v>
      </c>
      <c r="P293" s="65">
        <v>16280</v>
      </c>
      <c r="Q293" s="66" t="s">
        <v>468</v>
      </c>
      <c r="R293" s="82" t="s">
        <v>475</v>
      </c>
      <c r="S293" s="5"/>
    </row>
    <row r="294" ht="43.2" spans="1:20">
      <c r="A294" s="65">
        <v>245</v>
      </c>
      <c r="B294" s="79" t="s">
        <v>28</v>
      </c>
      <c r="C294" s="79" t="s">
        <v>456</v>
      </c>
      <c r="D294" s="82" t="s">
        <v>413</v>
      </c>
      <c r="E294" s="171" t="s">
        <v>41</v>
      </c>
      <c r="F294" s="176" t="s">
        <v>41</v>
      </c>
      <c r="G294" s="172" t="s">
        <v>41</v>
      </c>
      <c r="H294" s="68">
        <v>45953</v>
      </c>
      <c r="I294" s="65">
        <v>0</v>
      </c>
      <c r="J294" s="82">
        <v>7600</v>
      </c>
      <c r="K294" s="70" t="s">
        <v>34</v>
      </c>
      <c r="L294" s="65">
        <v>0</v>
      </c>
      <c r="M294" s="82" t="s">
        <v>97</v>
      </c>
      <c r="N294" s="37">
        <f ca="1" t="shared" si="24"/>
        <v>9.96666666666667</v>
      </c>
      <c r="O294" s="57" t="s">
        <v>52</v>
      </c>
      <c r="P294" s="65">
        <f>J294</f>
        <v>7600</v>
      </c>
      <c r="Q294" s="52" t="s">
        <v>53</v>
      </c>
      <c r="R294" s="82" t="s">
        <v>476</v>
      </c>
      <c r="S294" s="58" t="s">
        <v>103</v>
      </c>
      <c r="T294" s="5"/>
    </row>
    <row r="295" ht="43.2" spans="1:20">
      <c r="A295" s="41">
        <v>250</v>
      </c>
      <c r="B295" s="42" t="s">
        <v>28</v>
      </c>
      <c r="C295" s="42" t="s">
        <v>470</v>
      </c>
      <c r="D295" s="41" t="s">
        <v>57</v>
      </c>
      <c r="E295" s="165" t="s">
        <v>41</v>
      </c>
      <c r="F295" s="174" t="s">
        <v>41</v>
      </c>
      <c r="G295" s="166" t="s">
        <v>41</v>
      </c>
      <c r="H295" s="74">
        <v>45954</v>
      </c>
      <c r="I295" s="41">
        <v>0</v>
      </c>
      <c r="J295" s="41">
        <v>7661</v>
      </c>
      <c r="K295" s="43" t="s">
        <v>34</v>
      </c>
      <c r="L295" s="41">
        <v>0</v>
      </c>
      <c r="M295" s="41" t="s">
        <v>35</v>
      </c>
      <c r="N295" s="37">
        <f ca="1" t="shared" si="24"/>
        <v>9.93333333333333</v>
      </c>
      <c r="O295" s="47">
        <v>46266</v>
      </c>
      <c r="P295" s="41">
        <f>J295</f>
        <v>7661</v>
      </c>
      <c r="Q295" s="42" t="s">
        <v>185</v>
      </c>
      <c r="R295" s="41" t="s">
        <v>477</v>
      </c>
      <c r="S295" s="48" t="s">
        <v>45</v>
      </c>
      <c r="T295" s="50"/>
    </row>
    <row r="296" ht="43.2" spans="1:20">
      <c r="A296" s="65">
        <v>248</v>
      </c>
      <c r="B296" s="79" t="s">
        <v>28</v>
      </c>
      <c r="C296" s="79" t="s">
        <v>29</v>
      </c>
      <c r="D296" s="82" t="s">
        <v>57</v>
      </c>
      <c r="E296" s="67" t="s">
        <v>31</v>
      </c>
      <c r="F296" s="57" t="s">
        <v>236</v>
      </c>
      <c r="G296" s="68" t="s">
        <v>82</v>
      </c>
      <c r="H296" s="68">
        <v>45954</v>
      </c>
      <c r="I296" s="65">
        <v>0</v>
      </c>
      <c r="J296" s="82">
        <v>7000</v>
      </c>
      <c r="K296" s="70" t="s">
        <v>34</v>
      </c>
      <c r="L296" s="65">
        <v>0</v>
      </c>
      <c r="M296" s="82" t="s">
        <v>35</v>
      </c>
      <c r="N296" s="37">
        <f ca="1" t="shared" si="24"/>
        <v>9.93333333333333</v>
      </c>
      <c r="O296" s="70" t="s">
        <v>179</v>
      </c>
      <c r="P296" s="65">
        <f>J296</f>
        <v>7000</v>
      </c>
      <c r="Q296" s="66" t="s">
        <v>180</v>
      </c>
      <c r="R296" s="82" t="s">
        <v>478</v>
      </c>
      <c r="S296" s="58" t="s">
        <v>55</v>
      </c>
      <c r="T296" s="5"/>
    </row>
    <row r="297" ht="43.2" spans="1:20">
      <c r="A297" s="65">
        <v>525</v>
      </c>
      <c r="B297" s="79" t="s">
        <v>28</v>
      </c>
      <c r="C297" s="79" t="s">
        <v>29</v>
      </c>
      <c r="D297" s="82" t="s">
        <v>142</v>
      </c>
      <c r="E297" s="171" t="s">
        <v>41</v>
      </c>
      <c r="F297" s="171" t="s">
        <v>41</v>
      </c>
      <c r="G297" s="172" t="s">
        <v>41</v>
      </c>
      <c r="H297" s="76">
        <v>45954</v>
      </c>
      <c r="I297" s="65">
        <v>0</v>
      </c>
      <c r="J297" s="82">
        <v>8888</v>
      </c>
      <c r="K297" s="70" t="s">
        <v>34</v>
      </c>
      <c r="L297" s="65">
        <v>0</v>
      </c>
      <c r="M297" s="82" t="s">
        <v>42</v>
      </c>
      <c r="N297" s="37">
        <f ca="1" t="shared" si="24"/>
        <v>9.93333333333333</v>
      </c>
      <c r="O297" s="71">
        <v>46327</v>
      </c>
      <c r="P297" s="65">
        <v>8888</v>
      </c>
      <c r="Q297" s="66" t="s">
        <v>468</v>
      </c>
      <c r="R297" s="82" t="s">
        <v>479</v>
      </c>
      <c r="S297" s="5"/>
    </row>
    <row r="298" ht="43.2" spans="1:20">
      <c r="A298" s="65">
        <v>569</v>
      </c>
      <c r="B298" s="66" t="s">
        <v>28</v>
      </c>
      <c r="C298" s="79" t="s">
        <v>29</v>
      </c>
      <c r="D298" s="79" t="s">
        <v>142</v>
      </c>
      <c r="E298" s="67"/>
      <c r="F298" s="67"/>
      <c r="G298" s="80"/>
      <c r="H298" s="76">
        <v>45954</v>
      </c>
      <c r="I298" s="65"/>
      <c r="J298" s="82">
        <v>29832</v>
      </c>
      <c r="K298" s="70"/>
      <c r="L298" s="65"/>
      <c r="M298" s="82" t="s">
        <v>47</v>
      </c>
      <c r="N298" s="37">
        <f ca="1" t="shared" si="24"/>
        <v>9.93333333333333</v>
      </c>
      <c r="O298" s="57" t="s">
        <v>52</v>
      </c>
      <c r="P298" s="65">
        <v>29832</v>
      </c>
      <c r="Q298" s="66" t="s">
        <v>468</v>
      </c>
      <c r="R298" s="82" t="s">
        <v>480</v>
      </c>
      <c r="S298" s="5"/>
    </row>
    <row r="299" ht="43.2" spans="1:20">
      <c r="A299" s="65">
        <v>570</v>
      </c>
      <c r="B299" s="79" t="s">
        <v>28</v>
      </c>
      <c r="C299" s="79" t="s">
        <v>29</v>
      </c>
      <c r="D299" s="79" t="s">
        <v>142</v>
      </c>
      <c r="E299" s="67"/>
      <c r="F299" s="67"/>
      <c r="G299" s="80"/>
      <c r="H299" s="76">
        <v>45954</v>
      </c>
      <c r="I299" s="65"/>
      <c r="J299" s="82">
        <v>22000</v>
      </c>
      <c r="K299" s="70"/>
      <c r="L299" s="65"/>
      <c r="M299" s="82" t="s">
        <v>79</v>
      </c>
      <c r="N299" s="37">
        <f ca="1" t="shared" si="24"/>
        <v>9.93333333333333</v>
      </c>
      <c r="O299" s="57" t="s">
        <v>52</v>
      </c>
      <c r="P299" s="65">
        <v>22000</v>
      </c>
      <c r="Q299" s="66" t="s">
        <v>468</v>
      </c>
      <c r="R299" s="82" t="s">
        <v>481</v>
      </c>
      <c r="S299" s="5"/>
    </row>
    <row r="300" ht="43.2" spans="1:20">
      <c r="A300" s="65">
        <v>528</v>
      </c>
      <c r="B300" s="79" t="s">
        <v>28</v>
      </c>
      <c r="C300" s="79" t="s">
        <v>29</v>
      </c>
      <c r="D300" s="82" t="s">
        <v>142</v>
      </c>
      <c r="E300" s="171" t="s">
        <v>41</v>
      </c>
      <c r="F300" s="171" t="s">
        <v>41</v>
      </c>
      <c r="G300" s="172" t="s">
        <v>41</v>
      </c>
      <c r="H300" s="76">
        <v>45957</v>
      </c>
      <c r="I300" s="65">
        <v>0</v>
      </c>
      <c r="J300" s="82">
        <v>24200</v>
      </c>
      <c r="K300" s="70" t="s">
        <v>34</v>
      </c>
      <c r="L300" s="65">
        <v>0</v>
      </c>
      <c r="M300" s="82" t="s">
        <v>35</v>
      </c>
      <c r="N300" s="37">
        <f ca="1" t="shared" si="24"/>
        <v>9.83333333333333</v>
      </c>
      <c r="O300" s="57" t="s">
        <v>52</v>
      </c>
      <c r="P300" s="65">
        <v>24200</v>
      </c>
      <c r="Q300" s="66" t="s">
        <v>468</v>
      </c>
      <c r="R300" s="82" t="s">
        <v>482</v>
      </c>
      <c r="S300" s="5"/>
    </row>
    <row r="301" ht="43.2" spans="1:20">
      <c r="A301" s="65">
        <v>529</v>
      </c>
      <c r="B301" s="79" t="s">
        <v>28</v>
      </c>
      <c r="C301" s="79" t="s">
        <v>29</v>
      </c>
      <c r="D301" s="82" t="s">
        <v>142</v>
      </c>
      <c r="E301" s="171" t="s">
        <v>41</v>
      </c>
      <c r="F301" s="171" t="s">
        <v>41</v>
      </c>
      <c r="G301" s="172" t="s">
        <v>41</v>
      </c>
      <c r="H301" s="76">
        <v>45957</v>
      </c>
      <c r="I301" s="65">
        <v>0</v>
      </c>
      <c r="J301" s="82">
        <v>21120</v>
      </c>
      <c r="K301" s="70" t="s">
        <v>34</v>
      </c>
      <c r="L301" s="65">
        <v>0</v>
      </c>
      <c r="M301" s="82" t="s">
        <v>42</v>
      </c>
      <c r="N301" s="37">
        <f ca="1" t="shared" si="24"/>
        <v>9.83333333333333</v>
      </c>
      <c r="O301" s="57" t="s">
        <v>52</v>
      </c>
      <c r="P301" s="65">
        <v>21120</v>
      </c>
      <c r="Q301" s="66" t="s">
        <v>468</v>
      </c>
      <c r="R301" s="82" t="s">
        <v>483</v>
      </c>
      <c r="S301" s="5"/>
    </row>
    <row r="302" ht="43.2" spans="1:20">
      <c r="A302" s="65">
        <v>572</v>
      </c>
      <c r="B302" s="66" t="s">
        <v>28</v>
      </c>
      <c r="C302" s="79" t="s">
        <v>29</v>
      </c>
      <c r="D302" s="79" t="s">
        <v>142</v>
      </c>
      <c r="E302" s="67"/>
      <c r="F302" s="67"/>
      <c r="G302" s="80"/>
      <c r="H302" s="76">
        <v>45957</v>
      </c>
      <c r="I302" s="65"/>
      <c r="J302" s="82">
        <v>11035.2</v>
      </c>
      <c r="K302" s="70"/>
      <c r="L302" s="65"/>
      <c r="M302" s="84" t="s">
        <v>484</v>
      </c>
      <c r="N302" s="37">
        <f ca="1" t="shared" si="24"/>
        <v>9.83333333333333</v>
      </c>
      <c r="O302" s="57" t="s">
        <v>52</v>
      </c>
      <c r="P302" s="65">
        <v>11035.2</v>
      </c>
      <c r="Q302" s="66" t="s">
        <v>468</v>
      </c>
      <c r="R302" s="82" t="s">
        <v>485</v>
      </c>
      <c r="S302" s="5"/>
      <c r="T302" t="s">
        <v>86</v>
      </c>
    </row>
    <row r="303" ht="43.2" spans="1:20">
      <c r="A303" s="65">
        <v>576</v>
      </c>
      <c r="B303" s="79" t="s">
        <v>28</v>
      </c>
      <c r="C303" s="79" t="s">
        <v>29</v>
      </c>
      <c r="D303" s="79" t="s">
        <v>142</v>
      </c>
      <c r="E303" s="67"/>
      <c r="F303" s="67"/>
      <c r="G303" s="80"/>
      <c r="H303" s="76">
        <v>45957</v>
      </c>
      <c r="I303" s="65"/>
      <c r="J303" s="82">
        <v>87120</v>
      </c>
      <c r="K303" s="70"/>
      <c r="L303" s="65"/>
      <c r="M303" s="82" t="s">
        <v>58</v>
      </c>
      <c r="N303" s="37">
        <f ca="1" t="shared" si="24"/>
        <v>9.83333333333333</v>
      </c>
      <c r="O303" s="57" t="s">
        <v>52</v>
      </c>
      <c r="P303" s="65">
        <v>87120</v>
      </c>
      <c r="Q303" s="66" t="s">
        <v>468</v>
      </c>
      <c r="R303" s="82" t="s">
        <v>486</v>
      </c>
      <c r="S303" s="5"/>
    </row>
    <row r="304" ht="43.2" spans="1:20">
      <c r="A304" s="65">
        <v>417</v>
      </c>
      <c r="B304" s="79" t="s">
        <v>28</v>
      </c>
      <c r="C304" s="79" t="s">
        <v>93</v>
      </c>
      <c r="D304" s="82" t="s">
        <v>57</v>
      </c>
      <c r="E304" s="67" t="s">
        <v>31</v>
      </c>
      <c r="F304" s="57" t="s">
        <v>150</v>
      </c>
      <c r="G304" s="83" t="s">
        <v>151</v>
      </c>
      <c r="H304" s="76">
        <v>45958</v>
      </c>
      <c r="I304" s="65">
        <v>0</v>
      </c>
      <c r="J304" s="82">
        <v>4655</v>
      </c>
      <c r="K304" s="70" t="s">
        <v>34</v>
      </c>
      <c r="L304" s="65">
        <v>0</v>
      </c>
      <c r="M304" s="82" t="s">
        <v>47</v>
      </c>
      <c r="N304" s="37">
        <f ca="1" t="shared" si="24"/>
        <v>9.8</v>
      </c>
      <c r="O304" s="71" t="s">
        <v>152</v>
      </c>
      <c r="P304" s="65">
        <v>4655</v>
      </c>
      <c r="Q304" s="66" t="s">
        <v>53</v>
      </c>
      <c r="R304" s="82" t="s">
        <v>487</v>
      </c>
      <c r="S304" s="58" t="s">
        <v>103</v>
      </c>
      <c r="T304" s="5"/>
    </row>
    <row r="305" ht="43.2" spans="1:20">
      <c r="A305" s="65">
        <v>254</v>
      </c>
      <c r="B305" s="79" t="s">
        <v>28</v>
      </c>
      <c r="C305" s="79" t="s">
        <v>29</v>
      </c>
      <c r="D305" s="82" t="s">
        <v>57</v>
      </c>
      <c r="E305" s="67" t="s">
        <v>31</v>
      </c>
      <c r="F305" s="57" t="s">
        <v>236</v>
      </c>
      <c r="G305" s="68" t="s">
        <v>82</v>
      </c>
      <c r="H305" s="68">
        <v>45958</v>
      </c>
      <c r="I305" s="65">
        <v>0</v>
      </c>
      <c r="J305" s="82">
        <v>7000</v>
      </c>
      <c r="K305" s="70" t="s">
        <v>34</v>
      </c>
      <c r="L305" s="65">
        <v>0</v>
      </c>
      <c r="M305" s="82" t="s">
        <v>35</v>
      </c>
      <c r="N305" s="37">
        <f ca="1" t="shared" si="24"/>
        <v>9.8</v>
      </c>
      <c r="O305" s="70" t="s">
        <v>179</v>
      </c>
      <c r="P305" s="65">
        <f>J305</f>
        <v>7000</v>
      </c>
      <c r="Q305" s="66" t="s">
        <v>180</v>
      </c>
      <c r="R305" s="82" t="s">
        <v>488</v>
      </c>
      <c r="S305" s="58" t="s">
        <v>55</v>
      </c>
      <c r="T305" s="5"/>
    </row>
    <row r="306" ht="43.2" spans="1:20">
      <c r="A306" s="65">
        <v>571</v>
      </c>
      <c r="B306" s="79" t="s">
        <v>28</v>
      </c>
      <c r="C306" s="79" t="s">
        <v>29</v>
      </c>
      <c r="D306" s="79" t="s">
        <v>142</v>
      </c>
      <c r="E306" s="67"/>
      <c r="F306" s="67"/>
      <c r="G306" s="80"/>
      <c r="H306" s="76">
        <v>45958</v>
      </c>
      <c r="I306" s="65"/>
      <c r="J306" s="82">
        <v>19360</v>
      </c>
      <c r="K306" s="70"/>
      <c r="L306" s="65"/>
      <c r="M306" s="82" t="s">
        <v>79</v>
      </c>
      <c r="N306" s="37">
        <f ca="1" t="shared" si="24"/>
        <v>9.8</v>
      </c>
      <c r="O306" s="57" t="s">
        <v>52</v>
      </c>
      <c r="P306" s="65">
        <v>19360</v>
      </c>
      <c r="Q306" s="66" t="s">
        <v>468</v>
      </c>
      <c r="R306" s="82" t="s">
        <v>489</v>
      </c>
      <c r="S306" s="5"/>
    </row>
    <row r="307" ht="43.2" spans="1:20">
      <c r="A307" s="65">
        <v>581</v>
      </c>
      <c r="B307" s="79" t="s">
        <v>28</v>
      </c>
      <c r="C307" s="79" t="s">
        <v>29</v>
      </c>
      <c r="D307" s="79" t="s">
        <v>142</v>
      </c>
      <c r="E307" s="67"/>
      <c r="F307" s="67"/>
      <c r="G307" s="80"/>
      <c r="H307" s="76">
        <v>45958</v>
      </c>
      <c r="I307" s="65"/>
      <c r="J307" s="82">
        <v>21560</v>
      </c>
      <c r="K307" s="70"/>
      <c r="L307" s="65"/>
      <c r="M307" s="82" t="s">
        <v>58</v>
      </c>
      <c r="N307" s="37">
        <f ca="1" t="shared" si="24"/>
        <v>9.8</v>
      </c>
      <c r="O307" s="57" t="s">
        <v>52</v>
      </c>
      <c r="P307" s="65">
        <v>21560</v>
      </c>
      <c r="Q307" s="66" t="s">
        <v>468</v>
      </c>
      <c r="R307" s="82" t="s">
        <v>490</v>
      </c>
      <c r="S307" s="5"/>
    </row>
    <row r="308" ht="43.2" spans="1:20">
      <c r="A308" s="65">
        <v>583</v>
      </c>
      <c r="B308" s="66" t="s">
        <v>28</v>
      </c>
      <c r="C308" s="79" t="s">
        <v>29</v>
      </c>
      <c r="D308" s="79" t="s">
        <v>142</v>
      </c>
      <c r="E308" s="67"/>
      <c r="F308" s="67"/>
      <c r="G308" s="80"/>
      <c r="H308" s="76">
        <v>45958</v>
      </c>
      <c r="I308" s="65"/>
      <c r="J308" s="82">
        <v>28600</v>
      </c>
      <c r="K308" s="70"/>
      <c r="L308" s="65"/>
      <c r="M308" s="82" t="s">
        <v>47</v>
      </c>
      <c r="N308" s="37">
        <f ca="1" t="shared" si="24"/>
        <v>9.8</v>
      </c>
      <c r="O308" s="57" t="s">
        <v>52</v>
      </c>
      <c r="P308" s="65">
        <v>28600</v>
      </c>
      <c r="Q308" s="66" t="s">
        <v>468</v>
      </c>
      <c r="R308" s="82" t="s">
        <v>491</v>
      </c>
      <c r="S308" s="5"/>
    </row>
    <row r="309" ht="43.2" spans="1:20">
      <c r="A309" s="65">
        <v>577</v>
      </c>
      <c r="B309" s="66" t="s">
        <v>28</v>
      </c>
      <c r="C309" s="79" t="s">
        <v>29</v>
      </c>
      <c r="D309" s="79" t="s">
        <v>142</v>
      </c>
      <c r="E309" s="67"/>
      <c r="F309" s="67"/>
      <c r="G309" s="80"/>
      <c r="H309" s="76">
        <v>45959</v>
      </c>
      <c r="I309" s="65"/>
      <c r="J309" s="82">
        <v>80520</v>
      </c>
      <c r="K309" s="70"/>
      <c r="L309" s="65"/>
      <c r="M309" s="82" t="e">
        <v>#N/A</v>
      </c>
      <c r="N309" s="37">
        <f ca="1" t="shared" si="24"/>
        <v>9.76666666666667</v>
      </c>
      <c r="O309" s="57" t="s">
        <v>52</v>
      </c>
      <c r="P309" s="65">
        <v>80520</v>
      </c>
      <c r="Q309" s="66" t="s">
        <v>468</v>
      </c>
      <c r="R309" s="82" t="s">
        <v>492</v>
      </c>
      <c r="S309" s="5"/>
    </row>
    <row r="310" ht="43.2" spans="1:20">
      <c r="A310" s="65">
        <v>252</v>
      </c>
      <c r="B310" s="79" t="s">
        <v>28</v>
      </c>
      <c r="C310" s="79" t="s">
        <v>456</v>
      </c>
      <c r="D310" s="82" t="s">
        <v>413</v>
      </c>
      <c r="E310" s="171" t="s">
        <v>41</v>
      </c>
      <c r="F310" s="176" t="s">
        <v>41</v>
      </c>
      <c r="G310" s="172" t="s">
        <v>41</v>
      </c>
      <c r="H310" s="68">
        <v>45964</v>
      </c>
      <c r="I310" s="65">
        <v>0</v>
      </c>
      <c r="J310" s="82">
        <v>4000</v>
      </c>
      <c r="K310" s="70" t="s">
        <v>34</v>
      </c>
      <c r="L310" s="65">
        <v>0</v>
      </c>
      <c r="M310" s="82" t="s">
        <v>47</v>
      </c>
      <c r="N310" s="37">
        <f ca="1" t="shared" si="24"/>
        <v>9.6</v>
      </c>
      <c r="O310" s="57" t="s">
        <v>52</v>
      </c>
      <c r="P310" s="65">
        <f>J310</f>
        <v>4000</v>
      </c>
      <c r="Q310" s="52" t="s">
        <v>53</v>
      </c>
      <c r="R310" s="82" t="s">
        <v>493</v>
      </c>
      <c r="S310" s="58" t="s">
        <v>103</v>
      </c>
      <c r="T310" s="5"/>
    </row>
    <row r="311" ht="43.2" spans="1:20">
      <c r="A311" s="65">
        <v>532</v>
      </c>
      <c r="B311" s="79" t="s">
        <v>28</v>
      </c>
      <c r="C311" s="79" t="s">
        <v>29</v>
      </c>
      <c r="D311" s="82" t="s">
        <v>142</v>
      </c>
      <c r="E311" s="171" t="s">
        <v>41</v>
      </c>
      <c r="F311" s="171" t="s">
        <v>41</v>
      </c>
      <c r="G311" s="172" t="s">
        <v>41</v>
      </c>
      <c r="H311" s="76">
        <v>45964</v>
      </c>
      <c r="I311" s="65">
        <v>0</v>
      </c>
      <c r="J311" s="82">
        <v>19580</v>
      </c>
      <c r="K311" s="70" t="s">
        <v>34</v>
      </c>
      <c r="L311" s="65">
        <v>0</v>
      </c>
      <c r="M311" s="82" t="s">
        <v>35</v>
      </c>
      <c r="N311" s="37">
        <f ca="1" t="shared" si="24"/>
        <v>9.6</v>
      </c>
      <c r="O311" s="57" t="s">
        <v>52</v>
      </c>
      <c r="P311" s="65">
        <v>19580</v>
      </c>
      <c r="Q311" s="66" t="s">
        <v>468</v>
      </c>
      <c r="R311" s="82" t="s">
        <v>494</v>
      </c>
      <c r="S311" s="5"/>
    </row>
    <row r="312" ht="43.2" spans="1:20">
      <c r="A312" s="65">
        <v>579</v>
      </c>
      <c r="B312" s="79" t="s">
        <v>28</v>
      </c>
      <c r="C312" s="79" t="s">
        <v>29</v>
      </c>
      <c r="D312" s="79" t="s">
        <v>142</v>
      </c>
      <c r="E312" s="67"/>
      <c r="F312" s="67"/>
      <c r="G312" s="80"/>
      <c r="H312" s="76">
        <v>45964</v>
      </c>
      <c r="I312" s="65"/>
      <c r="J312" s="82">
        <v>7084</v>
      </c>
      <c r="K312" s="70"/>
      <c r="L312" s="65"/>
      <c r="M312" s="82" t="s">
        <v>42</v>
      </c>
      <c r="N312" s="37">
        <f ca="1" t="shared" si="24"/>
        <v>9.6</v>
      </c>
      <c r="O312" s="57" t="s">
        <v>52</v>
      </c>
      <c r="P312" s="65">
        <v>7084</v>
      </c>
      <c r="Q312" s="66" t="s">
        <v>468</v>
      </c>
      <c r="R312" s="82" t="s">
        <v>495</v>
      </c>
      <c r="S312" s="5"/>
    </row>
    <row r="313" ht="43.2" spans="1:20">
      <c r="A313" s="65">
        <v>580</v>
      </c>
      <c r="B313" s="66" t="s">
        <v>28</v>
      </c>
      <c r="C313" s="79" t="s">
        <v>29</v>
      </c>
      <c r="D313" s="79" t="s">
        <v>142</v>
      </c>
      <c r="E313" s="67"/>
      <c r="F313" s="67"/>
      <c r="G313" s="80"/>
      <c r="H313" s="76">
        <v>45964</v>
      </c>
      <c r="I313" s="65"/>
      <c r="J313" s="82">
        <v>39688</v>
      </c>
      <c r="K313" s="70"/>
      <c r="L313" s="65"/>
      <c r="M313" s="82" t="s">
        <v>47</v>
      </c>
      <c r="N313" s="37">
        <f ca="1" t="shared" si="24"/>
        <v>9.6</v>
      </c>
      <c r="O313" s="57" t="s">
        <v>52</v>
      </c>
      <c r="P313" s="65">
        <v>39688</v>
      </c>
      <c r="Q313" s="66" t="s">
        <v>468</v>
      </c>
      <c r="R313" s="82" t="s">
        <v>496</v>
      </c>
      <c r="S313" s="5"/>
    </row>
    <row r="314" ht="43.2" spans="1:20">
      <c r="A314" s="65">
        <v>534</v>
      </c>
      <c r="B314" s="79" t="s">
        <v>28</v>
      </c>
      <c r="C314" s="79" t="s">
        <v>29</v>
      </c>
      <c r="D314" s="82" t="s">
        <v>142</v>
      </c>
      <c r="E314" s="171" t="s">
        <v>41</v>
      </c>
      <c r="F314" s="171" t="s">
        <v>41</v>
      </c>
      <c r="G314" s="172" t="s">
        <v>41</v>
      </c>
      <c r="H314" s="76">
        <v>45965</v>
      </c>
      <c r="I314" s="65">
        <v>0</v>
      </c>
      <c r="J314" s="82">
        <v>38720</v>
      </c>
      <c r="K314" s="70" t="s">
        <v>34</v>
      </c>
      <c r="L314" s="65">
        <v>0</v>
      </c>
      <c r="M314" s="82" t="s">
        <v>42</v>
      </c>
      <c r="N314" s="37">
        <f ca="1" t="shared" si="24"/>
        <v>9.56666666666667</v>
      </c>
      <c r="O314" s="57" t="s">
        <v>52</v>
      </c>
      <c r="P314" s="65">
        <v>38720</v>
      </c>
      <c r="Q314" s="66" t="s">
        <v>468</v>
      </c>
      <c r="R314" s="82" t="s">
        <v>497</v>
      </c>
      <c r="S314" s="5"/>
    </row>
    <row r="315" ht="43.2" spans="1:20">
      <c r="A315" s="65">
        <v>573</v>
      </c>
      <c r="B315" s="79" t="s">
        <v>28</v>
      </c>
      <c r="C315" s="79" t="s">
        <v>29</v>
      </c>
      <c r="D315" s="79" t="s">
        <v>142</v>
      </c>
      <c r="E315" s="67"/>
      <c r="F315" s="67"/>
      <c r="G315" s="80"/>
      <c r="H315" s="76">
        <v>45965</v>
      </c>
      <c r="I315" s="65"/>
      <c r="J315" s="82">
        <v>74272</v>
      </c>
      <c r="K315" s="70"/>
      <c r="L315" s="65"/>
      <c r="M315" s="82" t="s">
        <v>42</v>
      </c>
      <c r="N315" s="37">
        <f ca="1" t="shared" si="24"/>
        <v>9.56666666666667</v>
      </c>
      <c r="O315" s="57" t="s">
        <v>52</v>
      </c>
      <c r="P315" s="65">
        <v>74272</v>
      </c>
      <c r="Q315" s="66" t="s">
        <v>468</v>
      </c>
      <c r="R315" s="82" t="s">
        <v>498</v>
      </c>
      <c r="S315" s="5"/>
    </row>
    <row r="316" ht="43.2" spans="1:20">
      <c r="A316" s="65">
        <v>578</v>
      </c>
      <c r="B316" s="79" t="s">
        <v>28</v>
      </c>
      <c r="C316" s="79" t="s">
        <v>29</v>
      </c>
      <c r="D316" s="79" t="s">
        <v>142</v>
      </c>
      <c r="E316" s="67"/>
      <c r="F316" s="67"/>
      <c r="G316" s="80"/>
      <c r="H316" s="76">
        <v>45965</v>
      </c>
      <c r="I316" s="65"/>
      <c r="J316" s="82">
        <v>15268</v>
      </c>
      <c r="K316" s="70"/>
      <c r="L316" s="65"/>
      <c r="M316" s="82" t="s">
        <v>58</v>
      </c>
      <c r="N316" s="37">
        <f ca="1" t="shared" si="24"/>
        <v>9.56666666666667</v>
      </c>
      <c r="O316" s="57" t="s">
        <v>52</v>
      </c>
      <c r="P316" s="65">
        <v>15268</v>
      </c>
      <c r="Q316" s="66" t="s">
        <v>468</v>
      </c>
      <c r="R316" s="82" t="s">
        <v>499</v>
      </c>
      <c r="S316" s="5"/>
    </row>
    <row r="317" ht="43.2" spans="1:20">
      <c r="A317" s="65">
        <v>582</v>
      </c>
      <c r="B317" s="79" t="s">
        <v>28</v>
      </c>
      <c r="C317" s="79" t="s">
        <v>29</v>
      </c>
      <c r="D317" s="79" t="s">
        <v>142</v>
      </c>
      <c r="E317" s="67"/>
      <c r="F317" s="67"/>
      <c r="G317" s="80"/>
      <c r="H317" s="76">
        <v>45965</v>
      </c>
      <c r="I317" s="65"/>
      <c r="J317" s="82">
        <v>10428</v>
      </c>
      <c r="K317" s="70"/>
      <c r="L317" s="65"/>
      <c r="M317" s="82" t="s">
        <v>42</v>
      </c>
      <c r="N317" s="37">
        <f ca="1" t="shared" si="24"/>
        <v>9.56666666666667</v>
      </c>
      <c r="O317" s="57" t="s">
        <v>52</v>
      </c>
      <c r="P317" s="65">
        <v>10428</v>
      </c>
      <c r="Q317" s="66" t="s">
        <v>468</v>
      </c>
      <c r="R317" s="82" t="s">
        <v>500</v>
      </c>
      <c r="S317" s="5"/>
    </row>
    <row r="318" ht="43.2" spans="1:20">
      <c r="A318" s="65">
        <v>352</v>
      </c>
      <c r="B318" s="79" t="s">
        <v>28</v>
      </c>
      <c r="C318" s="105" t="s">
        <v>456</v>
      </c>
      <c r="D318" s="82" t="s">
        <v>413</v>
      </c>
      <c r="E318" s="171" t="s">
        <v>41</v>
      </c>
      <c r="F318" s="171" t="s">
        <v>41</v>
      </c>
      <c r="G318" s="172" t="s">
        <v>41</v>
      </c>
      <c r="H318" s="76">
        <v>45968</v>
      </c>
      <c r="I318" s="65">
        <v>0</v>
      </c>
      <c r="J318" s="82">
        <v>24000</v>
      </c>
      <c r="K318" s="70" t="s">
        <v>34</v>
      </c>
      <c r="L318" s="65">
        <v>0</v>
      </c>
      <c r="M318" s="82" t="s">
        <v>58</v>
      </c>
      <c r="N318" s="37">
        <f ca="1" t="shared" si="24"/>
        <v>9.46666666666667</v>
      </c>
      <c r="O318" s="57" t="s">
        <v>52</v>
      </c>
      <c r="P318" s="65">
        <v>24000</v>
      </c>
      <c r="Q318" s="66" t="s">
        <v>53</v>
      </c>
      <c r="R318" s="82" t="s">
        <v>501</v>
      </c>
      <c r="S318" s="58" t="s">
        <v>103</v>
      </c>
      <c r="T318" s="5"/>
    </row>
    <row r="319" ht="43.2" spans="1:20">
      <c r="A319" s="65">
        <v>493</v>
      </c>
      <c r="B319" s="79" t="s">
        <v>28</v>
      </c>
      <c r="C319" s="79" t="s">
        <v>49</v>
      </c>
      <c r="D319" s="82" t="s">
        <v>57</v>
      </c>
      <c r="E319" s="171" t="s">
        <v>41</v>
      </c>
      <c r="F319" s="171" t="s">
        <v>41</v>
      </c>
      <c r="G319" s="172" t="s">
        <v>41</v>
      </c>
      <c r="H319" s="76">
        <v>45968</v>
      </c>
      <c r="I319" s="65">
        <v>0</v>
      </c>
      <c r="J319" s="82">
        <v>12000</v>
      </c>
      <c r="K319" s="70" t="s">
        <v>34</v>
      </c>
      <c r="L319" s="65">
        <v>0</v>
      </c>
      <c r="M319" s="82" t="s">
        <v>47</v>
      </c>
      <c r="N319" s="37">
        <f ca="1" t="shared" si="24"/>
        <v>9.46666666666667</v>
      </c>
      <c r="O319" s="57" t="s">
        <v>52</v>
      </c>
      <c r="P319" s="65">
        <v>12000</v>
      </c>
      <c r="Q319" s="66" t="s">
        <v>175</v>
      </c>
      <c r="R319" s="82" t="s">
        <v>502</v>
      </c>
      <c r="S319" s="58"/>
      <c r="T319" s="5"/>
    </row>
    <row r="320" ht="43.2" spans="1:20">
      <c r="A320" s="65">
        <v>421</v>
      </c>
      <c r="B320" s="79" t="s">
        <v>28</v>
      </c>
      <c r="C320" s="79" t="s">
        <v>93</v>
      </c>
      <c r="D320" s="82" t="s">
        <v>57</v>
      </c>
      <c r="E320" s="67" t="s">
        <v>31</v>
      </c>
      <c r="F320" s="57" t="s">
        <v>150</v>
      </c>
      <c r="G320" s="83" t="s">
        <v>151</v>
      </c>
      <c r="H320" s="76">
        <v>45968</v>
      </c>
      <c r="I320" s="65">
        <v>0</v>
      </c>
      <c r="J320" s="82">
        <v>4833.6</v>
      </c>
      <c r="K320" s="70" t="s">
        <v>34</v>
      </c>
      <c r="L320" s="65">
        <v>0</v>
      </c>
      <c r="M320" s="82" t="s">
        <v>58</v>
      </c>
      <c r="N320" s="37">
        <f ca="1" t="shared" si="24"/>
        <v>9.46666666666667</v>
      </c>
      <c r="O320" s="71" t="s">
        <v>152</v>
      </c>
      <c r="P320" s="65">
        <v>4833.6</v>
      </c>
      <c r="Q320" s="66" t="s">
        <v>53</v>
      </c>
      <c r="R320" s="82" t="s">
        <v>503</v>
      </c>
      <c r="S320" s="58" t="s">
        <v>103</v>
      </c>
      <c r="T320" s="5"/>
    </row>
    <row r="321" ht="43.2" spans="1:20">
      <c r="A321" s="65">
        <v>574</v>
      </c>
      <c r="B321" s="79" t="s">
        <v>28</v>
      </c>
      <c r="C321" s="79" t="s">
        <v>29</v>
      </c>
      <c r="D321" s="79" t="s">
        <v>142</v>
      </c>
      <c r="E321" s="67"/>
      <c r="F321" s="67"/>
      <c r="G321" s="80"/>
      <c r="H321" s="76">
        <v>45968</v>
      </c>
      <c r="I321" s="65"/>
      <c r="J321" s="82">
        <v>22440</v>
      </c>
      <c r="K321" s="70"/>
      <c r="L321" s="65"/>
      <c r="M321" s="82" t="s">
        <v>58</v>
      </c>
      <c r="N321" s="37">
        <f ca="1" t="shared" si="24"/>
        <v>9.46666666666667</v>
      </c>
      <c r="O321" s="57" t="s">
        <v>52</v>
      </c>
      <c r="P321" s="65">
        <v>22440</v>
      </c>
      <c r="Q321" s="66" t="s">
        <v>468</v>
      </c>
      <c r="R321" s="82" t="s">
        <v>504</v>
      </c>
      <c r="S321" s="5"/>
    </row>
    <row r="322" ht="43.2" spans="1:20">
      <c r="A322" s="65">
        <v>350</v>
      </c>
      <c r="B322" s="79" t="s">
        <v>28</v>
      </c>
      <c r="C322" s="105" t="s">
        <v>456</v>
      </c>
      <c r="D322" s="82" t="s">
        <v>413</v>
      </c>
      <c r="E322" s="171" t="s">
        <v>41</v>
      </c>
      <c r="F322" s="171" t="s">
        <v>41</v>
      </c>
      <c r="G322" s="172" t="s">
        <v>41</v>
      </c>
      <c r="H322" s="76">
        <v>45975</v>
      </c>
      <c r="I322" s="65">
        <v>0</v>
      </c>
      <c r="J322" s="82">
        <v>30760</v>
      </c>
      <c r="K322" s="70" t="s">
        <v>34</v>
      </c>
      <c r="L322" s="65">
        <v>0</v>
      </c>
      <c r="M322" s="82" t="s">
        <v>35</v>
      </c>
      <c r="N322" s="37">
        <f ca="1" t="shared" si="24"/>
        <v>9.23333333333333</v>
      </c>
      <c r="O322" s="57" t="s">
        <v>52</v>
      </c>
      <c r="P322" s="65">
        <v>30760</v>
      </c>
      <c r="Q322" s="66" t="s">
        <v>53</v>
      </c>
      <c r="R322" s="82" t="s">
        <v>505</v>
      </c>
      <c r="S322" s="58" t="s">
        <v>103</v>
      </c>
      <c r="T322" s="5"/>
    </row>
    <row r="323" ht="43.2" spans="1:20">
      <c r="A323" s="65">
        <v>494</v>
      </c>
      <c r="B323" s="79" t="s">
        <v>28</v>
      </c>
      <c r="C323" s="79" t="s">
        <v>49</v>
      </c>
      <c r="D323" s="82" t="s">
        <v>57</v>
      </c>
      <c r="E323" s="171" t="s">
        <v>31</v>
      </c>
      <c r="F323" s="57" t="s">
        <v>506</v>
      </c>
      <c r="G323" s="83" t="s">
        <v>507</v>
      </c>
      <c r="H323" s="76">
        <v>45975</v>
      </c>
      <c r="I323" s="65">
        <v>0</v>
      </c>
      <c r="J323" s="82">
        <v>14500</v>
      </c>
      <c r="K323" s="70" t="s">
        <v>34</v>
      </c>
      <c r="L323" s="65">
        <v>0</v>
      </c>
      <c r="M323" s="82" t="s">
        <v>47</v>
      </c>
      <c r="N323" s="37">
        <f ca="1" t="shared" si="24"/>
        <v>9.23333333333333</v>
      </c>
      <c r="O323" s="57" t="s">
        <v>52</v>
      </c>
      <c r="P323" s="65">
        <v>14500</v>
      </c>
      <c r="Q323" s="66" t="s">
        <v>201</v>
      </c>
      <c r="R323" s="82" t="s">
        <v>508</v>
      </c>
      <c r="S323" s="5"/>
    </row>
    <row r="324" ht="43.2" spans="1:20">
      <c r="A324" s="65">
        <v>495</v>
      </c>
      <c r="B324" s="79" t="s">
        <v>28</v>
      </c>
      <c r="C324" s="79" t="s">
        <v>49</v>
      </c>
      <c r="D324" s="82" t="s">
        <v>57</v>
      </c>
      <c r="E324" s="171" t="s">
        <v>41</v>
      </c>
      <c r="F324" s="171" t="s">
        <v>41</v>
      </c>
      <c r="G324" s="172" t="s">
        <v>41</v>
      </c>
      <c r="H324" s="76">
        <v>45975</v>
      </c>
      <c r="I324" s="65">
        <v>0</v>
      </c>
      <c r="J324" s="82">
        <v>7000</v>
      </c>
      <c r="K324" s="70" t="s">
        <v>34</v>
      </c>
      <c r="L324" s="65">
        <v>0</v>
      </c>
      <c r="M324" s="82" t="s">
        <v>42</v>
      </c>
      <c r="N324" s="37">
        <f ca="1" t="shared" si="24"/>
        <v>9.23333333333333</v>
      </c>
      <c r="O324" s="57" t="s">
        <v>52</v>
      </c>
      <c r="P324" s="65">
        <v>7000</v>
      </c>
      <c r="Q324" s="66" t="s">
        <v>175</v>
      </c>
      <c r="R324" s="82" t="s">
        <v>509</v>
      </c>
      <c r="S324" s="5"/>
    </row>
    <row r="325" ht="43.2" spans="1:20">
      <c r="A325" s="65">
        <v>418</v>
      </c>
      <c r="B325" s="79" t="s">
        <v>28</v>
      </c>
      <c r="C325" s="79" t="s">
        <v>93</v>
      </c>
      <c r="D325" s="82" t="s">
        <v>57</v>
      </c>
      <c r="E325" s="67" t="s">
        <v>31</v>
      </c>
      <c r="F325" s="57" t="s">
        <v>150</v>
      </c>
      <c r="G325" s="83" t="s">
        <v>151</v>
      </c>
      <c r="H325" s="76">
        <v>45975</v>
      </c>
      <c r="I325" s="65">
        <v>0</v>
      </c>
      <c r="J325" s="82">
        <v>10057.28</v>
      </c>
      <c r="K325" s="70" t="s">
        <v>34</v>
      </c>
      <c r="L325" s="65">
        <v>0</v>
      </c>
      <c r="M325" s="82" t="s">
        <v>47</v>
      </c>
      <c r="N325" s="37">
        <f ca="1" t="shared" si="24"/>
        <v>9.23333333333333</v>
      </c>
      <c r="O325" s="71" t="s">
        <v>152</v>
      </c>
      <c r="P325" s="65">
        <v>10057.28</v>
      </c>
      <c r="Q325" s="66" t="s">
        <v>53</v>
      </c>
      <c r="R325" s="82" t="s">
        <v>510</v>
      </c>
      <c r="S325" s="58" t="s">
        <v>103</v>
      </c>
      <c r="T325" s="5"/>
    </row>
    <row r="326" ht="43.2" spans="1:20">
      <c r="A326" s="65">
        <v>425</v>
      </c>
      <c r="B326" s="79" t="s">
        <v>28</v>
      </c>
      <c r="C326" s="79" t="s">
        <v>93</v>
      </c>
      <c r="D326" s="82" t="s">
        <v>57</v>
      </c>
      <c r="E326" s="67" t="s">
        <v>31</v>
      </c>
      <c r="F326" s="57" t="s">
        <v>150</v>
      </c>
      <c r="G326" s="83" t="s">
        <v>151</v>
      </c>
      <c r="H326" s="76">
        <v>45975</v>
      </c>
      <c r="I326" s="65">
        <v>0</v>
      </c>
      <c r="J326" s="82">
        <v>6105.6</v>
      </c>
      <c r="K326" s="70" t="s">
        <v>34</v>
      </c>
      <c r="L326" s="65">
        <v>0</v>
      </c>
      <c r="M326" s="82" t="s">
        <v>79</v>
      </c>
      <c r="N326" s="37">
        <f ca="1" t="shared" si="24"/>
        <v>9.23333333333333</v>
      </c>
      <c r="O326" s="71" t="s">
        <v>152</v>
      </c>
      <c r="P326" s="65">
        <v>6105.6</v>
      </c>
      <c r="Q326" s="66" t="s">
        <v>53</v>
      </c>
      <c r="R326" s="82" t="s">
        <v>511</v>
      </c>
      <c r="S326" s="58" t="s">
        <v>103</v>
      </c>
      <c r="T326" s="5"/>
    </row>
    <row r="327" ht="43.2" spans="1:20">
      <c r="A327" s="65">
        <v>539</v>
      </c>
      <c r="B327" s="66" t="s">
        <v>28</v>
      </c>
      <c r="C327" s="66" t="s">
        <v>29</v>
      </c>
      <c r="D327" s="65" t="s">
        <v>142</v>
      </c>
      <c r="E327" s="67" t="s">
        <v>31</v>
      </c>
      <c r="F327" s="110" t="s">
        <v>236</v>
      </c>
      <c r="G327" s="83" t="s">
        <v>82</v>
      </c>
      <c r="H327" s="76">
        <v>45975</v>
      </c>
      <c r="I327" s="65">
        <v>0</v>
      </c>
      <c r="J327" s="65">
        <v>110880</v>
      </c>
      <c r="K327" s="70" t="s">
        <v>34</v>
      </c>
      <c r="L327" s="65">
        <v>0</v>
      </c>
      <c r="M327" s="65" t="s">
        <v>79</v>
      </c>
      <c r="N327" s="37">
        <f ca="1" t="shared" si="24"/>
        <v>9.23333333333333</v>
      </c>
      <c r="O327" s="57" t="s">
        <v>52</v>
      </c>
      <c r="P327" s="65">
        <v>110880</v>
      </c>
      <c r="Q327" s="66" t="s">
        <v>205</v>
      </c>
      <c r="R327" s="65" t="s">
        <v>512</v>
      </c>
      <c r="S327" s="5" t="s">
        <v>103</v>
      </c>
    </row>
    <row r="328" ht="43.2" spans="1:20">
      <c r="A328" s="65">
        <v>253</v>
      </c>
      <c r="B328" s="79" t="s">
        <v>28</v>
      </c>
      <c r="C328" s="79" t="s">
        <v>456</v>
      </c>
      <c r="D328" s="82" t="s">
        <v>30</v>
      </c>
      <c r="E328" s="171" t="s">
        <v>41</v>
      </c>
      <c r="F328" s="176" t="s">
        <v>41</v>
      </c>
      <c r="G328" s="172" t="s">
        <v>41</v>
      </c>
      <c r="H328" s="68">
        <v>45979</v>
      </c>
      <c r="I328" s="65">
        <v>0</v>
      </c>
      <c r="J328" s="82">
        <v>5000</v>
      </c>
      <c r="K328" s="70" t="s">
        <v>34</v>
      </c>
      <c r="L328" s="65">
        <v>0</v>
      </c>
      <c r="M328" s="82" t="s">
        <v>42</v>
      </c>
      <c r="N328" s="37">
        <f ca="1" t="shared" si="24"/>
        <v>9.1</v>
      </c>
      <c r="O328" s="57" t="s">
        <v>52</v>
      </c>
      <c r="P328" s="65">
        <f>J328</f>
        <v>5000</v>
      </c>
      <c r="Q328" s="52" t="s">
        <v>53</v>
      </c>
      <c r="R328" s="82" t="s">
        <v>513</v>
      </c>
      <c r="S328" s="58" t="s">
        <v>103</v>
      </c>
      <c r="T328" s="5"/>
    </row>
    <row r="329" ht="43.2" spans="1:20">
      <c r="A329" s="65">
        <v>255</v>
      </c>
      <c r="B329" s="79" t="s">
        <v>28</v>
      </c>
      <c r="C329" s="79" t="s">
        <v>49</v>
      </c>
      <c r="D329" s="82" t="s">
        <v>30</v>
      </c>
      <c r="E329" s="67" t="s">
        <v>31</v>
      </c>
      <c r="F329" s="67" t="s">
        <v>458</v>
      </c>
      <c r="G329" s="80" t="s">
        <v>305</v>
      </c>
      <c r="H329" s="68">
        <v>45979</v>
      </c>
      <c r="I329" s="65">
        <v>0</v>
      </c>
      <c r="J329" s="82">
        <v>5000</v>
      </c>
      <c r="K329" s="70" t="s">
        <v>34</v>
      </c>
      <c r="L329" s="65">
        <v>0</v>
      </c>
      <c r="M329" s="82" t="s">
        <v>79</v>
      </c>
      <c r="N329" s="37">
        <f ca="1" t="shared" si="24"/>
        <v>9.1</v>
      </c>
      <c r="O329" s="71">
        <v>46266</v>
      </c>
      <c r="P329" s="65">
        <f>J329</f>
        <v>5000</v>
      </c>
      <c r="Q329" s="66" t="s">
        <v>201</v>
      </c>
      <c r="R329" s="82" t="s">
        <v>514</v>
      </c>
      <c r="S329" s="58" t="s">
        <v>55</v>
      </c>
      <c r="T329" s="5" t="s">
        <v>460</v>
      </c>
    </row>
    <row r="330" ht="43.2" spans="1:20">
      <c r="A330" s="65">
        <v>420</v>
      </c>
      <c r="B330" s="79" t="s">
        <v>28</v>
      </c>
      <c r="C330" s="79" t="s">
        <v>93</v>
      </c>
      <c r="D330" s="82" t="s">
        <v>515</v>
      </c>
      <c r="E330" s="67" t="s">
        <v>31</v>
      </c>
      <c r="F330" s="57" t="s">
        <v>150</v>
      </c>
      <c r="G330" s="83" t="s">
        <v>151</v>
      </c>
      <c r="H330" s="76">
        <v>45979</v>
      </c>
      <c r="I330" s="65">
        <v>0</v>
      </c>
      <c r="J330" s="82">
        <v>3060</v>
      </c>
      <c r="K330" s="70" t="s">
        <v>34</v>
      </c>
      <c r="L330" s="65">
        <v>0</v>
      </c>
      <c r="M330" s="82" t="s">
        <v>58</v>
      </c>
      <c r="N330" s="37">
        <f ca="1" t="shared" ref="N330:N380" si="25">(TODAY()-H330)/30</f>
        <v>9.1</v>
      </c>
      <c r="O330" s="71" t="s">
        <v>152</v>
      </c>
      <c r="P330" s="65">
        <v>3060</v>
      </c>
      <c r="Q330" s="66" t="s">
        <v>53</v>
      </c>
      <c r="R330" s="82" t="s">
        <v>516</v>
      </c>
      <c r="S330" s="58" t="s">
        <v>103</v>
      </c>
      <c r="T330" s="5"/>
    </row>
    <row r="331" ht="43.2" spans="1:20">
      <c r="A331" s="65">
        <v>424</v>
      </c>
      <c r="B331" s="79" t="s">
        <v>28</v>
      </c>
      <c r="C331" s="79" t="s">
        <v>93</v>
      </c>
      <c r="D331" s="82" t="s">
        <v>515</v>
      </c>
      <c r="E331" s="67" t="s">
        <v>31</v>
      </c>
      <c r="F331" s="57" t="s">
        <v>150</v>
      </c>
      <c r="G331" s="83" t="s">
        <v>151</v>
      </c>
      <c r="H331" s="76">
        <v>45979</v>
      </c>
      <c r="I331" s="65">
        <v>0</v>
      </c>
      <c r="J331" s="82">
        <v>374</v>
      </c>
      <c r="K331" s="70" t="s">
        <v>34</v>
      </c>
      <c r="L331" s="65">
        <v>0</v>
      </c>
      <c r="M331" s="82" t="s">
        <v>58</v>
      </c>
      <c r="N331" s="37">
        <f ca="1" t="shared" si="25"/>
        <v>9.1</v>
      </c>
      <c r="O331" s="71" t="s">
        <v>152</v>
      </c>
      <c r="P331" s="65">
        <v>374</v>
      </c>
      <c r="Q331" s="66" t="s">
        <v>53</v>
      </c>
      <c r="R331" s="82" t="s">
        <v>517</v>
      </c>
      <c r="S331" s="58" t="s">
        <v>103</v>
      </c>
      <c r="T331" s="5"/>
    </row>
    <row r="332" ht="43.2" spans="1:20">
      <c r="A332" s="65">
        <v>428</v>
      </c>
      <c r="B332" s="79" t="s">
        <v>28</v>
      </c>
      <c r="C332" s="79" t="s">
        <v>93</v>
      </c>
      <c r="D332" s="82" t="s">
        <v>515</v>
      </c>
      <c r="E332" s="67" t="s">
        <v>31</v>
      </c>
      <c r="F332" s="57" t="s">
        <v>150</v>
      </c>
      <c r="G332" s="83" t="s">
        <v>151</v>
      </c>
      <c r="H332" s="76">
        <v>45979</v>
      </c>
      <c r="I332" s="65">
        <v>0</v>
      </c>
      <c r="J332" s="82">
        <v>1564</v>
      </c>
      <c r="K332" s="70" t="s">
        <v>34</v>
      </c>
      <c r="L332" s="65">
        <v>0</v>
      </c>
      <c r="M332" s="82" t="s">
        <v>58</v>
      </c>
      <c r="N332" s="37">
        <f ca="1" t="shared" si="25"/>
        <v>9.1</v>
      </c>
      <c r="O332" s="71" t="s">
        <v>152</v>
      </c>
      <c r="P332" s="65">
        <v>1564</v>
      </c>
      <c r="Q332" s="66" t="s">
        <v>53</v>
      </c>
      <c r="R332" s="82" t="s">
        <v>518</v>
      </c>
      <c r="S332" s="58" t="s">
        <v>103</v>
      </c>
      <c r="T332" s="5"/>
    </row>
    <row r="333" ht="43.2" spans="1:20">
      <c r="A333" s="65">
        <v>429</v>
      </c>
      <c r="B333" s="79" t="s">
        <v>28</v>
      </c>
      <c r="C333" s="79" t="s">
        <v>93</v>
      </c>
      <c r="D333" s="82" t="s">
        <v>515</v>
      </c>
      <c r="E333" s="67" t="s">
        <v>31</v>
      </c>
      <c r="F333" s="57" t="s">
        <v>150</v>
      </c>
      <c r="G333" s="83" t="s">
        <v>151</v>
      </c>
      <c r="H333" s="76">
        <v>45979</v>
      </c>
      <c r="I333" s="65">
        <v>0</v>
      </c>
      <c r="J333" s="82">
        <v>1785</v>
      </c>
      <c r="K333" s="70" t="s">
        <v>34</v>
      </c>
      <c r="L333" s="65">
        <v>0</v>
      </c>
      <c r="M333" s="82" t="s">
        <v>58</v>
      </c>
      <c r="N333" s="37">
        <f ca="1" t="shared" si="25"/>
        <v>9.1</v>
      </c>
      <c r="O333" s="71" t="s">
        <v>152</v>
      </c>
      <c r="P333" s="65">
        <v>1785</v>
      </c>
      <c r="Q333" s="66" t="s">
        <v>53</v>
      </c>
      <c r="R333" s="82" t="s">
        <v>519</v>
      </c>
      <c r="S333" s="58" t="s">
        <v>103</v>
      </c>
      <c r="T333" s="5"/>
    </row>
    <row r="334" ht="43.2" spans="1:20">
      <c r="A334" s="65">
        <v>541</v>
      </c>
      <c r="B334" s="79" t="s">
        <v>28</v>
      </c>
      <c r="C334" s="79" t="s">
        <v>29</v>
      </c>
      <c r="D334" s="82" t="s">
        <v>142</v>
      </c>
      <c r="E334" s="171" t="s">
        <v>41</v>
      </c>
      <c r="F334" s="171" t="s">
        <v>41</v>
      </c>
      <c r="G334" s="172" t="s">
        <v>41</v>
      </c>
      <c r="H334" s="76">
        <v>45979</v>
      </c>
      <c r="I334" s="65">
        <v>0</v>
      </c>
      <c r="J334" s="82">
        <v>12188</v>
      </c>
      <c r="K334" s="70" t="s">
        <v>34</v>
      </c>
      <c r="L334" s="65">
        <v>0</v>
      </c>
      <c r="M334" s="82" t="s">
        <v>42</v>
      </c>
      <c r="N334" s="37">
        <f ca="1" t="shared" si="25"/>
        <v>9.1</v>
      </c>
      <c r="O334" s="71">
        <v>46296</v>
      </c>
      <c r="P334" s="65">
        <v>12188</v>
      </c>
      <c r="Q334" s="66" t="s">
        <v>468</v>
      </c>
      <c r="R334" s="82" t="s">
        <v>520</v>
      </c>
      <c r="S334" s="5"/>
    </row>
    <row r="335" ht="43.2" spans="1:20">
      <c r="A335" s="65">
        <v>575</v>
      </c>
      <c r="B335" s="66" t="s">
        <v>28</v>
      </c>
      <c r="C335" s="79" t="s">
        <v>29</v>
      </c>
      <c r="D335" s="79" t="s">
        <v>142</v>
      </c>
      <c r="E335" s="67"/>
      <c r="F335" s="67"/>
      <c r="G335" s="80"/>
      <c r="H335" s="76">
        <v>45979</v>
      </c>
      <c r="I335" s="65"/>
      <c r="J335" s="82">
        <v>69520</v>
      </c>
      <c r="K335" s="70"/>
      <c r="L335" s="65"/>
      <c r="M335" s="82" t="s">
        <v>47</v>
      </c>
      <c r="N335" s="37">
        <f ca="1" t="shared" si="25"/>
        <v>9.1</v>
      </c>
      <c r="O335" s="57" t="s">
        <v>52</v>
      </c>
      <c r="P335" s="65">
        <v>69520</v>
      </c>
      <c r="Q335" s="66" t="s">
        <v>468</v>
      </c>
      <c r="R335" s="82" t="s">
        <v>521</v>
      </c>
      <c r="S335" s="5"/>
    </row>
    <row r="336" ht="43.2" spans="1:20">
      <c r="A336" s="65">
        <v>351</v>
      </c>
      <c r="B336" s="79" t="s">
        <v>28</v>
      </c>
      <c r="C336" s="105" t="s">
        <v>456</v>
      </c>
      <c r="D336" s="82" t="s">
        <v>413</v>
      </c>
      <c r="E336" s="171" t="s">
        <v>41</v>
      </c>
      <c r="F336" s="171" t="s">
        <v>41</v>
      </c>
      <c r="G336" s="172" t="s">
        <v>41</v>
      </c>
      <c r="H336" s="76">
        <v>45980</v>
      </c>
      <c r="I336" s="65">
        <v>0</v>
      </c>
      <c r="J336" s="82">
        <v>21600</v>
      </c>
      <c r="K336" s="70" t="s">
        <v>34</v>
      </c>
      <c r="L336" s="65">
        <v>0</v>
      </c>
      <c r="M336" s="82" t="s">
        <v>42</v>
      </c>
      <c r="N336" s="37">
        <f ca="1" t="shared" si="25"/>
        <v>9.06666666666667</v>
      </c>
      <c r="O336" s="57" t="s">
        <v>52</v>
      </c>
      <c r="P336" s="65">
        <v>21600</v>
      </c>
      <c r="Q336" s="66" t="s">
        <v>53</v>
      </c>
      <c r="R336" s="82" t="s">
        <v>522</v>
      </c>
      <c r="S336" s="58" t="s">
        <v>103</v>
      </c>
      <c r="T336" s="5"/>
    </row>
    <row r="337" ht="43.2" spans="1:20">
      <c r="A337" s="65">
        <v>353</v>
      </c>
      <c r="B337" s="79" t="s">
        <v>28</v>
      </c>
      <c r="C337" s="105" t="s">
        <v>456</v>
      </c>
      <c r="D337" s="82" t="s">
        <v>413</v>
      </c>
      <c r="E337" s="171" t="s">
        <v>41</v>
      </c>
      <c r="F337" s="171" t="s">
        <v>41</v>
      </c>
      <c r="G337" s="172" t="s">
        <v>41</v>
      </c>
      <c r="H337" s="76">
        <v>45982</v>
      </c>
      <c r="I337" s="65">
        <v>0</v>
      </c>
      <c r="J337" s="82">
        <v>14600</v>
      </c>
      <c r="K337" s="70" t="s">
        <v>34</v>
      </c>
      <c r="L337" s="65">
        <v>0</v>
      </c>
      <c r="M337" s="82" t="s">
        <v>47</v>
      </c>
      <c r="N337" s="37">
        <f ca="1" t="shared" si="25"/>
        <v>9</v>
      </c>
      <c r="O337" s="57" t="s">
        <v>52</v>
      </c>
      <c r="P337" s="65">
        <v>14600</v>
      </c>
      <c r="Q337" s="66" t="s">
        <v>53</v>
      </c>
      <c r="R337" s="82" t="s">
        <v>523</v>
      </c>
      <c r="S337" s="58" t="s">
        <v>103</v>
      </c>
      <c r="T337" s="5"/>
    </row>
    <row r="338" ht="43.2" spans="1:20">
      <c r="A338" s="65">
        <v>426</v>
      </c>
      <c r="B338" s="79" t="s">
        <v>28</v>
      </c>
      <c r="C338" s="79" t="s">
        <v>93</v>
      </c>
      <c r="D338" s="82" t="s">
        <v>57</v>
      </c>
      <c r="E338" s="67" t="s">
        <v>31</v>
      </c>
      <c r="F338" s="57" t="s">
        <v>150</v>
      </c>
      <c r="G338" s="83" t="s">
        <v>151</v>
      </c>
      <c r="H338" s="76">
        <v>45982</v>
      </c>
      <c r="I338" s="65">
        <v>0</v>
      </c>
      <c r="J338" s="82">
        <v>5681.6</v>
      </c>
      <c r="K338" s="70" t="s">
        <v>34</v>
      </c>
      <c r="L338" s="65">
        <v>0</v>
      </c>
      <c r="M338" s="82" t="s">
        <v>42</v>
      </c>
      <c r="N338" s="37">
        <f ca="1" t="shared" si="25"/>
        <v>9</v>
      </c>
      <c r="O338" s="71" t="s">
        <v>152</v>
      </c>
      <c r="P338" s="65">
        <v>5681.6</v>
      </c>
      <c r="Q338" s="66" t="s">
        <v>53</v>
      </c>
      <c r="R338" s="82" t="s">
        <v>524</v>
      </c>
      <c r="S338" s="58" t="s">
        <v>103</v>
      </c>
      <c r="T338" s="5"/>
    </row>
    <row r="339" ht="43.2" spans="1:20">
      <c r="A339" s="65">
        <v>542</v>
      </c>
      <c r="B339" s="79" t="s">
        <v>28</v>
      </c>
      <c r="C339" s="79" t="s">
        <v>29</v>
      </c>
      <c r="D339" s="82" t="s">
        <v>142</v>
      </c>
      <c r="E339" s="171" t="s">
        <v>41</v>
      </c>
      <c r="F339" s="171" t="s">
        <v>41</v>
      </c>
      <c r="G339" s="172" t="s">
        <v>41</v>
      </c>
      <c r="H339" s="76">
        <v>45982</v>
      </c>
      <c r="I339" s="65">
        <v>0</v>
      </c>
      <c r="J339" s="82">
        <v>18920</v>
      </c>
      <c r="K339" s="70" t="s">
        <v>34</v>
      </c>
      <c r="L339" s="65">
        <v>0</v>
      </c>
      <c r="M339" s="82" t="s">
        <v>35</v>
      </c>
      <c r="N339" s="37">
        <f ca="1" t="shared" si="25"/>
        <v>9</v>
      </c>
      <c r="O339" s="71">
        <v>46296</v>
      </c>
      <c r="P339" s="65">
        <v>18920</v>
      </c>
      <c r="Q339" s="66" t="s">
        <v>468</v>
      </c>
      <c r="R339" s="82" t="s">
        <v>525</v>
      </c>
      <c r="S339" s="5"/>
    </row>
    <row r="340" ht="43.2" spans="1:20">
      <c r="A340" s="65">
        <v>496</v>
      </c>
      <c r="B340" s="79" t="s">
        <v>28</v>
      </c>
      <c r="C340" s="79" t="s">
        <v>49</v>
      </c>
      <c r="D340" s="82" t="s">
        <v>57</v>
      </c>
      <c r="E340" s="67" t="s">
        <v>31</v>
      </c>
      <c r="F340" s="67" t="s">
        <v>392</v>
      </c>
      <c r="G340" s="80" t="s">
        <v>222</v>
      </c>
      <c r="H340" s="76">
        <v>45985</v>
      </c>
      <c r="I340" s="65">
        <v>0</v>
      </c>
      <c r="J340" s="82">
        <v>47020</v>
      </c>
      <c r="K340" s="70" t="s">
        <v>34</v>
      </c>
      <c r="L340" s="65">
        <v>0</v>
      </c>
      <c r="M340" s="82" t="s">
        <v>79</v>
      </c>
      <c r="N340" s="37">
        <f ca="1" t="shared" si="25"/>
        <v>8.9</v>
      </c>
      <c r="O340" s="57" t="s">
        <v>52</v>
      </c>
      <c r="P340" s="65">
        <v>47020</v>
      </c>
      <c r="Q340" s="66" t="s">
        <v>201</v>
      </c>
      <c r="R340" s="82" t="s">
        <v>526</v>
      </c>
      <c r="S340" s="5"/>
      <c r="T340" t="s">
        <v>394</v>
      </c>
    </row>
    <row r="341" ht="43.2" spans="1:20">
      <c r="A341" s="41">
        <v>258</v>
      </c>
      <c r="B341" s="42" t="s">
        <v>28</v>
      </c>
      <c r="C341" s="42" t="s">
        <v>527</v>
      </c>
      <c r="D341" s="41" t="s">
        <v>413</v>
      </c>
      <c r="E341" s="165" t="s">
        <v>41</v>
      </c>
      <c r="F341" s="174" t="s">
        <v>41</v>
      </c>
      <c r="G341" s="166" t="s">
        <v>41</v>
      </c>
      <c r="H341" s="75">
        <v>45988</v>
      </c>
      <c r="I341" s="41">
        <v>0</v>
      </c>
      <c r="J341" s="41">
        <v>7568</v>
      </c>
      <c r="K341" s="43" t="s">
        <v>34</v>
      </c>
      <c r="L341" s="41">
        <v>0</v>
      </c>
      <c r="M341" s="41" t="s">
        <v>58</v>
      </c>
      <c r="N341" s="37">
        <f ca="1" t="shared" si="25"/>
        <v>8.8</v>
      </c>
      <c r="O341" s="47">
        <v>46266</v>
      </c>
      <c r="P341" s="41">
        <f>J341</f>
        <v>7568</v>
      </c>
      <c r="Q341" s="42" t="s">
        <v>185</v>
      </c>
      <c r="R341" s="41" t="s">
        <v>528</v>
      </c>
      <c r="S341" s="48" t="s">
        <v>45</v>
      </c>
      <c r="T341" s="50"/>
    </row>
    <row r="342" ht="43.2" spans="1:20">
      <c r="A342" s="65">
        <v>498</v>
      </c>
      <c r="B342" s="79" t="s">
        <v>28</v>
      </c>
      <c r="C342" s="79" t="s">
        <v>29</v>
      </c>
      <c r="D342" s="82" t="s">
        <v>57</v>
      </c>
      <c r="E342" s="171" t="s">
        <v>41</v>
      </c>
      <c r="F342" s="171" t="s">
        <v>41</v>
      </c>
      <c r="G342" s="172" t="s">
        <v>41</v>
      </c>
      <c r="H342" s="76">
        <v>45996</v>
      </c>
      <c r="I342" s="65">
        <v>0</v>
      </c>
      <c r="J342" s="82">
        <v>18560</v>
      </c>
      <c r="K342" s="70" t="s">
        <v>34</v>
      </c>
      <c r="L342" s="65">
        <v>0</v>
      </c>
      <c r="M342" s="82" t="s">
        <v>58</v>
      </c>
      <c r="N342" s="37">
        <f ca="1" t="shared" si="25"/>
        <v>8.53333333333333</v>
      </c>
      <c r="O342" s="71">
        <v>46357</v>
      </c>
      <c r="P342" s="65">
        <v>18560</v>
      </c>
      <c r="Q342" s="57" t="s">
        <v>53</v>
      </c>
      <c r="R342" s="82" t="s">
        <v>529</v>
      </c>
      <c r="S342" s="5"/>
    </row>
    <row r="343" ht="43.2" spans="1:20">
      <c r="A343" s="65">
        <v>497</v>
      </c>
      <c r="B343" s="79" t="s">
        <v>28</v>
      </c>
      <c r="C343" s="79" t="s">
        <v>49</v>
      </c>
      <c r="D343" s="82" t="s">
        <v>57</v>
      </c>
      <c r="E343" s="67" t="s">
        <v>31</v>
      </c>
      <c r="F343" s="67" t="s">
        <v>392</v>
      </c>
      <c r="G343" s="80" t="s">
        <v>222</v>
      </c>
      <c r="H343" s="76">
        <v>46000</v>
      </c>
      <c r="I343" s="65">
        <v>0</v>
      </c>
      <c r="J343" s="82">
        <v>14000</v>
      </c>
      <c r="K343" s="70" t="s">
        <v>34</v>
      </c>
      <c r="L343" s="65">
        <v>0</v>
      </c>
      <c r="M343" s="82" t="s">
        <v>42</v>
      </c>
      <c r="N343" s="37">
        <f ca="1" t="shared" si="25"/>
        <v>8.4</v>
      </c>
      <c r="O343" s="57" t="s">
        <v>52</v>
      </c>
      <c r="P343" s="65">
        <v>14000</v>
      </c>
      <c r="Q343" s="66" t="s">
        <v>201</v>
      </c>
      <c r="R343" s="82" t="s">
        <v>530</v>
      </c>
      <c r="S343" s="5"/>
      <c r="T343" t="s">
        <v>394</v>
      </c>
    </row>
    <row r="344" ht="43.2" spans="1:20">
      <c r="A344" s="65">
        <v>256</v>
      </c>
      <c r="B344" s="79" t="s">
        <v>28</v>
      </c>
      <c r="C344" s="79" t="s">
        <v>49</v>
      </c>
      <c r="D344" s="82" t="s">
        <v>57</v>
      </c>
      <c r="E344" s="171" t="s">
        <v>31</v>
      </c>
      <c r="F344" s="57" t="s">
        <v>506</v>
      </c>
      <c r="G344" s="83" t="s">
        <v>507</v>
      </c>
      <c r="H344" s="76">
        <v>46002</v>
      </c>
      <c r="I344" s="65">
        <v>0</v>
      </c>
      <c r="J344" s="82">
        <v>12000</v>
      </c>
      <c r="K344" s="70" t="s">
        <v>34</v>
      </c>
      <c r="L344" s="65">
        <v>0</v>
      </c>
      <c r="M344" s="82" t="s">
        <v>42</v>
      </c>
      <c r="N344" s="37">
        <f ca="1" t="shared" si="25"/>
        <v>8.33333333333333</v>
      </c>
      <c r="O344" s="71">
        <v>46266</v>
      </c>
      <c r="P344" s="65">
        <f>J344</f>
        <v>12000</v>
      </c>
      <c r="Q344" s="66" t="s">
        <v>201</v>
      </c>
      <c r="R344" s="82" t="s">
        <v>531</v>
      </c>
      <c r="S344" s="58" t="s">
        <v>55</v>
      </c>
      <c r="T344" s="5"/>
    </row>
    <row r="345" ht="43.2" spans="1:20">
      <c r="A345" s="65">
        <v>260</v>
      </c>
      <c r="B345" s="79" t="s">
        <v>28</v>
      </c>
      <c r="C345" s="79" t="s">
        <v>49</v>
      </c>
      <c r="D345" s="82" t="s">
        <v>57</v>
      </c>
      <c r="E345" s="171" t="s">
        <v>31</v>
      </c>
      <c r="F345" s="57" t="s">
        <v>506</v>
      </c>
      <c r="G345" s="83" t="s">
        <v>507</v>
      </c>
      <c r="H345" s="76">
        <v>46002</v>
      </c>
      <c r="I345" s="65">
        <v>0</v>
      </c>
      <c r="J345" s="82">
        <v>12000</v>
      </c>
      <c r="K345" s="70" t="s">
        <v>34</v>
      </c>
      <c r="L345" s="65">
        <v>0</v>
      </c>
      <c r="M345" s="82" t="s">
        <v>35</v>
      </c>
      <c r="N345" s="37">
        <f ca="1" t="shared" si="25"/>
        <v>8.33333333333333</v>
      </c>
      <c r="O345" s="71">
        <v>46266</v>
      </c>
      <c r="P345" s="65">
        <f>J345</f>
        <v>12000</v>
      </c>
      <c r="Q345" s="66" t="s">
        <v>201</v>
      </c>
      <c r="R345" s="82" t="s">
        <v>532</v>
      </c>
      <c r="S345" s="58" t="s">
        <v>55</v>
      </c>
      <c r="T345" s="5"/>
    </row>
    <row r="346" ht="57.6" spans="1:20">
      <c r="A346" s="41">
        <v>257</v>
      </c>
      <c r="B346" s="42" t="s">
        <v>28</v>
      </c>
      <c r="C346" s="42" t="s">
        <v>124</v>
      </c>
      <c r="D346" s="41" t="s">
        <v>57</v>
      </c>
      <c r="E346" s="165" t="s">
        <v>41</v>
      </c>
      <c r="F346" s="174" t="s">
        <v>41</v>
      </c>
      <c r="G346" s="166" t="s">
        <v>41</v>
      </c>
      <c r="H346" s="75">
        <v>46002</v>
      </c>
      <c r="I346" s="41">
        <v>0</v>
      </c>
      <c r="J346" s="41">
        <v>14000</v>
      </c>
      <c r="K346" s="43" t="s">
        <v>34</v>
      </c>
      <c r="L346" s="41">
        <v>0</v>
      </c>
      <c r="M346" s="41" t="s">
        <v>42</v>
      </c>
      <c r="N346" s="37">
        <f ca="1" t="shared" si="25"/>
        <v>8.33333333333333</v>
      </c>
      <c r="O346" s="47">
        <v>46357</v>
      </c>
      <c r="P346" s="41">
        <f>J346</f>
        <v>14000</v>
      </c>
      <c r="Q346" s="42" t="s">
        <v>125</v>
      </c>
      <c r="R346" s="41" t="s">
        <v>533</v>
      </c>
      <c r="S346" s="48" t="s">
        <v>45</v>
      </c>
      <c r="T346" s="50"/>
    </row>
    <row r="347" ht="43.2" spans="1:20">
      <c r="A347" s="65">
        <v>543</v>
      </c>
      <c r="B347" s="66" t="s">
        <v>28</v>
      </c>
      <c r="C347" s="66" t="s">
        <v>29</v>
      </c>
      <c r="D347" s="65" t="s">
        <v>142</v>
      </c>
      <c r="E347" s="67" t="s">
        <v>31</v>
      </c>
      <c r="F347" s="110" t="s">
        <v>236</v>
      </c>
      <c r="G347" s="83" t="s">
        <v>82</v>
      </c>
      <c r="H347" s="76">
        <v>46002</v>
      </c>
      <c r="I347" s="65">
        <v>0</v>
      </c>
      <c r="J347" s="65">
        <v>118800</v>
      </c>
      <c r="K347" s="70" t="s">
        <v>34</v>
      </c>
      <c r="L347" s="65">
        <v>0</v>
      </c>
      <c r="M347" s="65" t="s">
        <v>47</v>
      </c>
      <c r="N347" s="37">
        <f ca="1" t="shared" si="25"/>
        <v>8.33333333333333</v>
      </c>
      <c r="O347" s="57" t="s">
        <v>52</v>
      </c>
      <c r="P347" s="65">
        <v>118800</v>
      </c>
      <c r="Q347" s="66" t="s">
        <v>205</v>
      </c>
      <c r="R347" s="65" t="s">
        <v>534</v>
      </c>
      <c r="S347" s="5" t="s">
        <v>103</v>
      </c>
    </row>
    <row r="348" ht="43.2" spans="1:20">
      <c r="A348" s="65">
        <v>499</v>
      </c>
      <c r="B348" s="79" t="s">
        <v>28</v>
      </c>
      <c r="C348" s="79" t="s">
        <v>49</v>
      </c>
      <c r="D348" s="82" t="s">
        <v>57</v>
      </c>
      <c r="E348" s="171" t="s">
        <v>31</v>
      </c>
      <c r="F348" s="57" t="s">
        <v>345</v>
      </c>
      <c r="G348" s="83" t="s">
        <v>346</v>
      </c>
      <c r="H348" s="76">
        <v>46007</v>
      </c>
      <c r="I348" s="65">
        <v>0</v>
      </c>
      <c r="J348" s="82">
        <v>12000</v>
      </c>
      <c r="K348" s="70" t="s">
        <v>34</v>
      </c>
      <c r="L348" s="65">
        <v>0</v>
      </c>
      <c r="M348" s="82" t="s">
        <v>42</v>
      </c>
      <c r="N348" s="37">
        <f ca="1" t="shared" si="25"/>
        <v>8.16666666666667</v>
      </c>
      <c r="O348" s="57" t="s">
        <v>52</v>
      </c>
      <c r="P348" s="65">
        <v>12000</v>
      </c>
      <c r="Q348" s="66" t="s">
        <v>201</v>
      </c>
      <c r="R348" s="82" t="s">
        <v>535</v>
      </c>
      <c r="S348" s="5"/>
    </row>
    <row r="349" ht="43.2" spans="1:20">
      <c r="A349" s="65">
        <v>262</v>
      </c>
      <c r="B349" s="79" t="s">
        <v>28</v>
      </c>
      <c r="C349" s="79" t="s">
        <v>93</v>
      </c>
      <c r="D349" s="82" t="s">
        <v>57</v>
      </c>
      <c r="E349" s="171" t="s">
        <v>31</v>
      </c>
      <c r="F349" s="57" t="s">
        <v>150</v>
      </c>
      <c r="G349" s="83" t="s">
        <v>151</v>
      </c>
      <c r="H349" s="76">
        <v>46007</v>
      </c>
      <c r="I349" s="65">
        <v>0</v>
      </c>
      <c r="J349" s="82">
        <v>4240</v>
      </c>
      <c r="K349" s="70" t="s">
        <v>34</v>
      </c>
      <c r="L349" s="65">
        <v>0</v>
      </c>
      <c r="M349" s="82" t="s">
        <v>42</v>
      </c>
      <c r="N349" s="37">
        <f ca="1" t="shared" si="25"/>
        <v>8.16666666666667</v>
      </c>
      <c r="O349" s="71" t="s">
        <v>152</v>
      </c>
      <c r="P349" s="65">
        <f>J349</f>
        <v>4240</v>
      </c>
      <c r="Q349" s="66" t="s">
        <v>53</v>
      </c>
      <c r="R349" s="82" t="s">
        <v>536</v>
      </c>
      <c r="S349" s="58" t="s">
        <v>103</v>
      </c>
      <c r="T349" s="5"/>
    </row>
    <row r="350" ht="43.2" spans="1:20">
      <c r="A350" s="65">
        <v>430</v>
      </c>
      <c r="B350" s="79" t="s">
        <v>28</v>
      </c>
      <c r="C350" s="79" t="s">
        <v>93</v>
      </c>
      <c r="D350" s="82" t="s">
        <v>57</v>
      </c>
      <c r="E350" s="67" t="s">
        <v>31</v>
      </c>
      <c r="F350" s="57" t="s">
        <v>150</v>
      </c>
      <c r="G350" s="83" t="s">
        <v>151</v>
      </c>
      <c r="H350" s="76">
        <v>46007</v>
      </c>
      <c r="I350" s="65">
        <v>0</v>
      </c>
      <c r="J350" s="82">
        <v>6733</v>
      </c>
      <c r="K350" s="70" t="s">
        <v>34</v>
      </c>
      <c r="L350" s="65">
        <v>0</v>
      </c>
      <c r="M350" s="82" t="s">
        <v>42</v>
      </c>
      <c r="N350" s="37">
        <f ca="1" t="shared" si="25"/>
        <v>8.16666666666667</v>
      </c>
      <c r="O350" s="71" t="s">
        <v>152</v>
      </c>
      <c r="P350" s="65">
        <v>6733</v>
      </c>
      <c r="Q350" s="66" t="s">
        <v>53</v>
      </c>
      <c r="R350" s="82" t="s">
        <v>537</v>
      </c>
      <c r="S350" s="58" t="s">
        <v>103</v>
      </c>
      <c r="T350" s="5"/>
    </row>
    <row r="351" ht="43.2" spans="1:20">
      <c r="A351" s="65">
        <v>432</v>
      </c>
      <c r="B351" s="79" t="s">
        <v>28</v>
      </c>
      <c r="C351" s="79" t="s">
        <v>93</v>
      </c>
      <c r="D351" s="82" t="s">
        <v>57</v>
      </c>
      <c r="E351" s="67" t="s">
        <v>31</v>
      </c>
      <c r="F351" s="57" t="s">
        <v>150</v>
      </c>
      <c r="G351" s="83" t="s">
        <v>151</v>
      </c>
      <c r="H351" s="76">
        <v>46007</v>
      </c>
      <c r="I351" s="65">
        <v>0</v>
      </c>
      <c r="J351" s="82">
        <v>8649.6</v>
      </c>
      <c r="K351" s="70" t="s">
        <v>34</v>
      </c>
      <c r="L351" s="65">
        <v>0</v>
      </c>
      <c r="M351" s="82" t="s">
        <v>42</v>
      </c>
      <c r="N351" s="37">
        <f ca="1" t="shared" si="25"/>
        <v>8.16666666666667</v>
      </c>
      <c r="O351" s="71" t="s">
        <v>152</v>
      </c>
      <c r="P351" s="65">
        <v>8649.6</v>
      </c>
      <c r="Q351" s="66" t="s">
        <v>53</v>
      </c>
      <c r="R351" s="82" t="s">
        <v>538</v>
      </c>
      <c r="S351" s="58" t="s">
        <v>103</v>
      </c>
      <c r="T351" s="5"/>
    </row>
    <row r="352" ht="43.2" spans="1:20">
      <c r="A352" s="65">
        <v>584</v>
      </c>
      <c r="B352" s="79" t="s">
        <v>28</v>
      </c>
      <c r="C352" s="79" t="s">
        <v>29</v>
      </c>
      <c r="D352" s="79" t="s">
        <v>142</v>
      </c>
      <c r="E352" s="67"/>
      <c r="F352" s="67"/>
      <c r="G352" s="80"/>
      <c r="H352" s="76">
        <v>46007</v>
      </c>
      <c r="I352" s="65"/>
      <c r="J352" s="82">
        <v>80520</v>
      </c>
      <c r="K352" s="70"/>
      <c r="L352" s="65"/>
      <c r="M352" s="82" t="s">
        <v>79</v>
      </c>
      <c r="N352" s="37">
        <f ca="1" t="shared" si="25"/>
        <v>8.16666666666667</v>
      </c>
      <c r="O352" s="57" t="s">
        <v>52</v>
      </c>
      <c r="P352" s="65">
        <v>80520</v>
      </c>
      <c r="Q352" s="66" t="s">
        <v>468</v>
      </c>
      <c r="R352" s="82" t="s">
        <v>539</v>
      </c>
      <c r="S352" s="5"/>
    </row>
    <row r="353" ht="43.2" spans="1:20">
      <c r="A353" s="65">
        <v>500</v>
      </c>
      <c r="B353" s="79" t="s">
        <v>28</v>
      </c>
      <c r="C353" s="79" t="s">
        <v>29</v>
      </c>
      <c r="D353" s="82" t="s">
        <v>57</v>
      </c>
      <c r="E353" s="171" t="s">
        <v>41</v>
      </c>
      <c r="F353" s="171" t="s">
        <v>41</v>
      </c>
      <c r="G353" s="172" t="s">
        <v>41</v>
      </c>
      <c r="H353" s="76">
        <v>46015</v>
      </c>
      <c r="I353" s="65">
        <v>0</v>
      </c>
      <c r="J353" s="82">
        <v>23240</v>
      </c>
      <c r="K353" s="70" t="s">
        <v>34</v>
      </c>
      <c r="L353" s="65">
        <v>0</v>
      </c>
      <c r="M353" s="82" t="s">
        <v>35</v>
      </c>
      <c r="N353" s="37">
        <f ca="1" t="shared" si="25"/>
        <v>7.9</v>
      </c>
      <c r="O353" s="71">
        <v>46327</v>
      </c>
      <c r="P353" s="65">
        <v>23240</v>
      </c>
      <c r="Q353" s="57" t="s">
        <v>53</v>
      </c>
      <c r="R353" s="82" t="s">
        <v>540</v>
      </c>
      <c r="S353" s="58"/>
      <c r="T353" s="5"/>
    </row>
    <row r="354" ht="57.6" spans="1:20">
      <c r="A354" s="65">
        <v>263</v>
      </c>
      <c r="B354" s="79" t="s">
        <v>28</v>
      </c>
      <c r="C354" s="79" t="s">
        <v>541</v>
      </c>
      <c r="D354" s="82" t="s">
        <v>76</v>
      </c>
      <c r="E354" s="171" t="s">
        <v>41</v>
      </c>
      <c r="F354" s="176" t="s">
        <v>41</v>
      </c>
      <c r="G354" s="172" t="s">
        <v>41</v>
      </c>
      <c r="H354" s="76">
        <v>46018</v>
      </c>
      <c r="I354" s="65">
        <v>0</v>
      </c>
      <c r="J354" s="82">
        <v>5280</v>
      </c>
      <c r="K354" s="70" t="s">
        <v>34</v>
      </c>
      <c r="L354" s="65">
        <v>0</v>
      </c>
      <c r="M354" s="82" t="s">
        <v>79</v>
      </c>
      <c r="N354" s="37">
        <f ca="1" t="shared" si="25"/>
        <v>7.8</v>
      </c>
      <c r="O354" s="71">
        <v>46296</v>
      </c>
      <c r="P354" s="65">
        <f>J354</f>
        <v>5280</v>
      </c>
      <c r="Q354" s="66" t="s">
        <v>542</v>
      </c>
      <c r="R354" s="82" t="s">
        <v>543</v>
      </c>
      <c r="S354" s="58" t="s">
        <v>55</v>
      </c>
      <c r="T354" s="5"/>
    </row>
    <row r="355" ht="43.2" spans="1:20">
      <c r="A355" s="65">
        <v>502</v>
      </c>
      <c r="B355" s="79" t="s">
        <v>28</v>
      </c>
      <c r="C355" s="79" t="s">
        <v>49</v>
      </c>
      <c r="D355" s="82" t="s">
        <v>544</v>
      </c>
      <c r="E355" s="171" t="s">
        <v>31</v>
      </c>
      <c r="F355" s="57" t="s">
        <v>506</v>
      </c>
      <c r="G355" s="83" t="s">
        <v>507</v>
      </c>
      <c r="H355" s="76">
        <v>46018</v>
      </c>
      <c r="I355" s="65">
        <v>0</v>
      </c>
      <c r="J355" s="82">
        <v>7000</v>
      </c>
      <c r="K355" s="70" t="s">
        <v>34</v>
      </c>
      <c r="L355" s="65">
        <v>0</v>
      </c>
      <c r="M355" s="82" t="s">
        <v>47</v>
      </c>
      <c r="N355" s="37">
        <f ca="1" t="shared" si="25"/>
        <v>7.8</v>
      </c>
      <c r="O355" s="57" t="s">
        <v>52</v>
      </c>
      <c r="P355" s="65">
        <v>7000</v>
      </c>
      <c r="Q355" s="66" t="s">
        <v>201</v>
      </c>
      <c r="R355" s="82" t="s">
        <v>545</v>
      </c>
      <c r="S355" s="58"/>
      <c r="T355" s="5"/>
    </row>
    <row r="356" ht="43.2" spans="1:20">
      <c r="A356" s="65">
        <v>503</v>
      </c>
      <c r="B356" s="79" t="s">
        <v>28</v>
      </c>
      <c r="C356" s="79" t="s">
        <v>49</v>
      </c>
      <c r="D356" s="82" t="s">
        <v>57</v>
      </c>
      <c r="E356" s="67" t="s">
        <v>31</v>
      </c>
      <c r="F356" s="67" t="s">
        <v>546</v>
      </c>
      <c r="G356" s="80" t="s">
        <v>388</v>
      </c>
      <c r="H356" s="76">
        <v>46018</v>
      </c>
      <c r="I356" s="65">
        <v>0</v>
      </c>
      <c r="J356" s="82">
        <v>7000</v>
      </c>
      <c r="K356" s="70" t="s">
        <v>34</v>
      </c>
      <c r="L356" s="65">
        <v>0</v>
      </c>
      <c r="M356" s="82" t="s">
        <v>42</v>
      </c>
      <c r="N356" s="37">
        <f ca="1" t="shared" si="25"/>
        <v>7.8</v>
      </c>
      <c r="O356" s="57" t="s">
        <v>52</v>
      </c>
      <c r="P356" s="65">
        <v>7000</v>
      </c>
      <c r="Q356" s="66" t="s">
        <v>201</v>
      </c>
      <c r="R356" s="82" t="s">
        <v>547</v>
      </c>
      <c r="S356" s="58"/>
      <c r="T356" s="5" t="s">
        <v>390</v>
      </c>
    </row>
    <row r="357" ht="43.2" spans="1:20">
      <c r="A357" s="65">
        <v>544</v>
      </c>
      <c r="B357" s="79" t="s">
        <v>28</v>
      </c>
      <c r="C357" s="79" t="s">
        <v>49</v>
      </c>
      <c r="D357" s="82" t="s">
        <v>142</v>
      </c>
      <c r="E357" s="67" t="s">
        <v>31</v>
      </c>
      <c r="F357" s="110" t="s">
        <v>236</v>
      </c>
      <c r="G357" s="83" t="s">
        <v>82</v>
      </c>
      <c r="H357" s="76">
        <v>46018</v>
      </c>
      <c r="I357" s="65">
        <v>0</v>
      </c>
      <c r="J357" s="82">
        <v>27964.2</v>
      </c>
      <c r="K357" s="70" t="s">
        <v>34</v>
      </c>
      <c r="L357" s="65">
        <v>0</v>
      </c>
      <c r="M357" s="82" t="s">
        <v>79</v>
      </c>
      <c r="N357" s="37">
        <f ca="1" t="shared" si="25"/>
        <v>7.8</v>
      </c>
      <c r="O357" s="57" t="s">
        <v>52</v>
      </c>
      <c r="P357" s="65">
        <v>27964.2</v>
      </c>
      <c r="Q357" s="66" t="s">
        <v>133</v>
      </c>
      <c r="R357" s="82" t="s">
        <v>548</v>
      </c>
      <c r="S357" s="5"/>
    </row>
    <row r="358" ht="43.2" spans="1:20">
      <c r="A358" s="65">
        <v>501</v>
      </c>
      <c r="B358" s="79" t="s">
        <v>28</v>
      </c>
      <c r="C358" s="79" t="s">
        <v>29</v>
      </c>
      <c r="D358" s="82" t="s">
        <v>57</v>
      </c>
      <c r="E358" s="171" t="s">
        <v>31</v>
      </c>
      <c r="F358" s="57" t="s">
        <v>549</v>
      </c>
      <c r="G358" s="177" t="s">
        <v>41</v>
      </c>
      <c r="H358" s="76">
        <v>46018</v>
      </c>
      <c r="I358" s="65">
        <v>0</v>
      </c>
      <c r="J358" s="82">
        <v>28336</v>
      </c>
      <c r="K358" s="70" t="s">
        <v>34</v>
      </c>
      <c r="L358" s="65">
        <v>0</v>
      </c>
      <c r="M358" s="82" t="s">
        <v>79</v>
      </c>
      <c r="N358" s="37">
        <f ca="1" t="shared" si="25"/>
        <v>7.8</v>
      </c>
      <c r="O358" s="71">
        <v>46327</v>
      </c>
      <c r="P358" s="65">
        <v>28336</v>
      </c>
      <c r="Q358" s="57" t="s">
        <v>53</v>
      </c>
      <c r="R358" s="82" t="s">
        <v>550</v>
      </c>
      <c r="S358" s="58"/>
      <c r="T358" s="5"/>
    </row>
    <row r="359" ht="43.2" spans="1:20">
      <c r="A359" s="65">
        <v>356</v>
      </c>
      <c r="B359" s="79" t="s">
        <v>28</v>
      </c>
      <c r="C359" s="105" t="s">
        <v>456</v>
      </c>
      <c r="D359" s="82" t="s">
        <v>413</v>
      </c>
      <c r="E359" s="171" t="s">
        <v>41</v>
      </c>
      <c r="F359" s="171" t="s">
        <v>41</v>
      </c>
      <c r="G359" s="172" t="s">
        <v>41</v>
      </c>
      <c r="H359" s="76">
        <v>46027</v>
      </c>
      <c r="I359" s="65">
        <v>0</v>
      </c>
      <c r="J359" s="82">
        <v>58000</v>
      </c>
      <c r="K359" s="70" t="s">
        <v>34</v>
      </c>
      <c r="L359" s="65">
        <v>0</v>
      </c>
      <c r="M359" s="82" t="s">
        <v>58</v>
      </c>
      <c r="N359" s="37">
        <f ca="1" t="shared" si="25"/>
        <v>7.5</v>
      </c>
      <c r="O359" s="57" t="s">
        <v>52</v>
      </c>
      <c r="P359" s="65">
        <v>58000</v>
      </c>
      <c r="Q359" s="66" t="s">
        <v>53</v>
      </c>
      <c r="R359" s="82" t="s">
        <v>551</v>
      </c>
      <c r="S359" s="58" t="s">
        <v>103</v>
      </c>
      <c r="T359" s="5"/>
    </row>
    <row r="360" ht="43.2" spans="1:20">
      <c r="A360" s="65">
        <v>267</v>
      </c>
      <c r="B360" s="79" t="s">
        <v>28</v>
      </c>
      <c r="C360" s="79" t="s">
        <v>552</v>
      </c>
      <c r="D360" s="82" t="s">
        <v>57</v>
      </c>
      <c r="E360" s="79" t="s">
        <v>31</v>
      </c>
      <c r="F360" s="57" t="s">
        <v>553</v>
      </c>
      <c r="G360" s="113" t="s">
        <v>554</v>
      </c>
      <c r="H360" s="76">
        <v>46035</v>
      </c>
      <c r="I360" s="65">
        <v>0</v>
      </c>
      <c r="J360" s="82">
        <v>7400</v>
      </c>
      <c r="K360" s="70" t="s">
        <v>34</v>
      </c>
      <c r="L360" s="65">
        <v>0</v>
      </c>
      <c r="M360" s="82" t="s">
        <v>35</v>
      </c>
      <c r="N360" s="37">
        <f ca="1" t="shared" si="25"/>
        <v>7.23333333333333</v>
      </c>
      <c r="O360" s="71">
        <v>46204</v>
      </c>
      <c r="P360" s="65">
        <f>J360</f>
        <v>7400</v>
      </c>
      <c r="Q360" s="66" t="s">
        <v>555</v>
      </c>
      <c r="R360" s="82" t="s">
        <v>556</v>
      </c>
      <c r="S360" s="58" t="s">
        <v>103</v>
      </c>
      <c r="T360" s="5"/>
    </row>
    <row r="361" ht="43.2" spans="1:20">
      <c r="A361" s="65">
        <v>504</v>
      </c>
      <c r="B361" s="79" t="s">
        <v>28</v>
      </c>
      <c r="C361" s="79" t="s">
        <v>49</v>
      </c>
      <c r="D361" s="82" t="s">
        <v>57</v>
      </c>
      <c r="E361" s="67" t="s">
        <v>31</v>
      </c>
      <c r="F361" s="110" t="s">
        <v>557</v>
      </c>
      <c r="G361" s="83" t="s">
        <v>558</v>
      </c>
      <c r="H361" s="76">
        <v>46036</v>
      </c>
      <c r="I361" s="65">
        <v>0</v>
      </c>
      <c r="J361" s="82">
        <v>19236</v>
      </c>
      <c r="K361" s="70" t="s">
        <v>34</v>
      </c>
      <c r="L361" s="65">
        <v>0</v>
      </c>
      <c r="M361" s="82" t="s">
        <v>35</v>
      </c>
      <c r="N361" s="37">
        <f ca="1" t="shared" si="25"/>
        <v>7.2</v>
      </c>
      <c r="O361" s="57" t="s">
        <v>52</v>
      </c>
      <c r="P361" s="65">
        <v>19236</v>
      </c>
      <c r="Q361" s="66" t="s">
        <v>201</v>
      </c>
      <c r="R361" s="82" t="s">
        <v>559</v>
      </c>
      <c r="S361" s="58"/>
      <c r="T361" s="5"/>
    </row>
    <row r="362" ht="43.2" spans="1:20">
      <c r="A362" s="65">
        <v>505</v>
      </c>
      <c r="B362" s="79" t="s">
        <v>28</v>
      </c>
      <c r="C362" s="79" t="s">
        <v>49</v>
      </c>
      <c r="D362" s="82" t="s">
        <v>57</v>
      </c>
      <c r="E362" s="67" t="s">
        <v>31</v>
      </c>
      <c r="F362" s="110" t="s">
        <v>557</v>
      </c>
      <c r="G362" s="83" t="s">
        <v>558</v>
      </c>
      <c r="H362" s="76">
        <v>46036</v>
      </c>
      <c r="I362" s="65">
        <v>0</v>
      </c>
      <c r="J362" s="82">
        <v>20930</v>
      </c>
      <c r="K362" s="70" t="s">
        <v>34</v>
      </c>
      <c r="L362" s="65">
        <v>0</v>
      </c>
      <c r="M362" s="82" t="s">
        <v>35</v>
      </c>
      <c r="N362" s="37">
        <f ca="1" t="shared" si="25"/>
        <v>7.2</v>
      </c>
      <c r="O362" s="57" t="s">
        <v>52</v>
      </c>
      <c r="P362" s="65">
        <v>20930</v>
      </c>
      <c r="Q362" s="66" t="s">
        <v>201</v>
      </c>
      <c r="R362" s="82" t="s">
        <v>560</v>
      </c>
      <c r="S362" s="58"/>
      <c r="T362" s="5"/>
    </row>
    <row r="363" ht="57.6" spans="1:20">
      <c r="A363" s="30">
        <v>268</v>
      </c>
      <c r="B363" s="31" t="s">
        <v>28</v>
      </c>
      <c r="C363" s="31" t="s">
        <v>561</v>
      </c>
      <c r="D363" s="30" t="s">
        <v>413</v>
      </c>
      <c r="E363" s="33" t="s">
        <v>31</v>
      </c>
      <c r="F363" s="34" t="s">
        <v>562</v>
      </c>
      <c r="G363" s="106" t="s">
        <v>563</v>
      </c>
      <c r="H363" s="89">
        <v>46036</v>
      </c>
      <c r="I363" s="30">
        <v>0</v>
      </c>
      <c r="J363" s="30">
        <v>127600</v>
      </c>
      <c r="K363" s="32" t="s">
        <v>34</v>
      </c>
      <c r="L363" s="30">
        <v>0</v>
      </c>
      <c r="M363" s="30" t="s">
        <v>42</v>
      </c>
      <c r="N363" s="37">
        <f ca="1" t="shared" si="25"/>
        <v>7.2</v>
      </c>
      <c r="O363" s="61">
        <v>46266</v>
      </c>
      <c r="P363" s="30">
        <f>J363</f>
        <v>127600</v>
      </c>
      <c r="Q363" s="31" t="s">
        <v>205</v>
      </c>
      <c r="R363" s="30" t="s">
        <v>564</v>
      </c>
      <c r="S363" s="39" t="s">
        <v>103</v>
      </c>
      <c r="T363" s="77"/>
    </row>
    <row r="364" ht="57.6" spans="1:20">
      <c r="A364" s="30">
        <v>269</v>
      </c>
      <c r="B364" s="31" t="s">
        <v>28</v>
      </c>
      <c r="C364" s="31" t="s">
        <v>561</v>
      </c>
      <c r="D364" s="30" t="s">
        <v>413</v>
      </c>
      <c r="E364" s="33" t="s">
        <v>31</v>
      </c>
      <c r="F364" s="34" t="s">
        <v>562</v>
      </c>
      <c r="G364" s="106" t="s">
        <v>563</v>
      </c>
      <c r="H364" s="89">
        <v>46036</v>
      </c>
      <c r="I364" s="30">
        <v>0</v>
      </c>
      <c r="J364" s="30">
        <v>75504</v>
      </c>
      <c r="K364" s="32" t="s">
        <v>34</v>
      </c>
      <c r="L364" s="30">
        <v>0</v>
      </c>
      <c r="M364" s="30" t="s">
        <v>42</v>
      </c>
      <c r="N364" s="37">
        <f ca="1" t="shared" si="25"/>
        <v>7.2</v>
      </c>
      <c r="O364" s="61">
        <v>46266</v>
      </c>
      <c r="P364" s="30">
        <f>J364</f>
        <v>75504</v>
      </c>
      <c r="Q364" s="31" t="s">
        <v>205</v>
      </c>
      <c r="R364" s="30" t="s">
        <v>564</v>
      </c>
      <c r="S364" s="39" t="s">
        <v>103</v>
      </c>
      <c r="T364" s="77"/>
    </row>
    <row r="365" ht="86.4" spans="1:20">
      <c r="A365" s="30">
        <v>265</v>
      </c>
      <c r="B365" s="31" t="s">
        <v>28</v>
      </c>
      <c r="C365" s="31" t="s">
        <v>130</v>
      </c>
      <c r="D365" s="30" t="s">
        <v>76</v>
      </c>
      <c r="E365" s="167" t="s">
        <v>41</v>
      </c>
      <c r="F365" s="175" t="s">
        <v>41</v>
      </c>
      <c r="G365" s="168" t="s">
        <v>41</v>
      </c>
      <c r="H365" s="89">
        <v>46037</v>
      </c>
      <c r="I365" s="30">
        <v>0</v>
      </c>
      <c r="J365" s="30">
        <v>4400</v>
      </c>
      <c r="K365" s="32" t="s">
        <v>34</v>
      </c>
      <c r="L365" s="30">
        <v>0</v>
      </c>
      <c r="M365" s="30" t="s">
        <v>79</v>
      </c>
      <c r="N365" s="37">
        <f ca="1" t="shared" si="25"/>
        <v>7.16666666666667</v>
      </c>
      <c r="O365" s="61">
        <v>46266</v>
      </c>
      <c r="P365" s="30">
        <f>J365</f>
        <v>4400</v>
      </c>
      <c r="Q365" s="31" t="s">
        <v>131</v>
      </c>
      <c r="R365" s="30" t="s">
        <v>565</v>
      </c>
      <c r="S365" s="39" t="s">
        <v>38</v>
      </c>
      <c r="T365" s="77"/>
    </row>
    <row r="366" ht="86.4" spans="1:20">
      <c r="A366" s="30">
        <v>266</v>
      </c>
      <c r="B366" s="31" t="s">
        <v>28</v>
      </c>
      <c r="C366" s="31" t="s">
        <v>130</v>
      </c>
      <c r="D366" s="30" t="s">
        <v>76</v>
      </c>
      <c r="E366" s="167" t="s">
        <v>41</v>
      </c>
      <c r="F366" s="175" t="s">
        <v>41</v>
      </c>
      <c r="G366" s="168" t="s">
        <v>41</v>
      </c>
      <c r="H366" s="89">
        <v>46037</v>
      </c>
      <c r="I366" s="30">
        <v>0</v>
      </c>
      <c r="J366" s="30">
        <v>4400</v>
      </c>
      <c r="K366" s="32" t="s">
        <v>34</v>
      </c>
      <c r="L366" s="30">
        <v>0</v>
      </c>
      <c r="M366" s="30" t="s">
        <v>79</v>
      </c>
      <c r="N366" s="37">
        <f ca="1" t="shared" si="25"/>
        <v>7.16666666666667</v>
      </c>
      <c r="O366" s="61">
        <v>46266</v>
      </c>
      <c r="P366" s="30">
        <f>J366</f>
        <v>4400</v>
      </c>
      <c r="Q366" s="31" t="s">
        <v>131</v>
      </c>
      <c r="R366" s="30" t="s">
        <v>565</v>
      </c>
      <c r="S366" s="39" t="s">
        <v>38</v>
      </c>
      <c r="T366" s="77"/>
    </row>
    <row r="367" ht="43.2" spans="1:20">
      <c r="A367" s="65">
        <v>355</v>
      </c>
      <c r="B367" s="79" t="s">
        <v>28</v>
      </c>
      <c r="C367" s="105" t="s">
        <v>456</v>
      </c>
      <c r="D367" s="82" t="s">
        <v>413</v>
      </c>
      <c r="E367" s="171" t="s">
        <v>41</v>
      </c>
      <c r="F367" s="171" t="s">
        <v>41</v>
      </c>
      <c r="G367" s="172" t="s">
        <v>41</v>
      </c>
      <c r="H367" s="76">
        <v>46041</v>
      </c>
      <c r="I367" s="65">
        <v>0</v>
      </c>
      <c r="J367" s="82">
        <v>85600</v>
      </c>
      <c r="K367" s="70" t="s">
        <v>34</v>
      </c>
      <c r="L367" s="65">
        <v>0</v>
      </c>
      <c r="M367" s="82" t="s">
        <v>79</v>
      </c>
      <c r="N367" s="37">
        <f ca="1" t="shared" si="25"/>
        <v>7.03333333333333</v>
      </c>
      <c r="O367" s="57" t="s">
        <v>52</v>
      </c>
      <c r="P367" s="65">
        <v>85600</v>
      </c>
      <c r="Q367" s="66" t="s">
        <v>53</v>
      </c>
      <c r="R367" s="82" t="s">
        <v>566</v>
      </c>
      <c r="S367" s="58" t="s">
        <v>103</v>
      </c>
      <c r="T367" s="5"/>
    </row>
    <row r="368" ht="43.2" spans="1:20">
      <c r="A368" s="65">
        <v>274</v>
      </c>
      <c r="B368" s="79" t="s">
        <v>28</v>
      </c>
      <c r="C368" s="79" t="s">
        <v>29</v>
      </c>
      <c r="D368" s="82" t="s">
        <v>57</v>
      </c>
      <c r="E368" s="67" t="s">
        <v>31</v>
      </c>
      <c r="F368" s="57" t="s">
        <v>236</v>
      </c>
      <c r="G368" s="68" t="s">
        <v>82</v>
      </c>
      <c r="H368" s="76">
        <v>46041</v>
      </c>
      <c r="I368" s="65">
        <v>0</v>
      </c>
      <c r="J368" s="82">
        <v>7994</v>
      </c>
      <c r="K368" s="70" t="s">
        <v>34</v>
      </c>
      <c r="L368" s="65">
        <v>0</v>
      </c>
      <c r="M368" s="82" t="s">
        <v>47</v>
      </c>
      <c r="N368" s="37">
        <f ca="1" t="shared" si="25"/>
        <v>7.03333333333333</v>
      </c>
      <c r="O368" s="70" t="s">
        <v>179</v>
      </c>
      <c r="P368" s="65">
        <f>J368</f>
        <v>7994</v>
      </c>
      <c r="Q368" s="66" t="s">
        <v>180</v>
      </c>
      <c r="R368" s="82" t="s">
        <v>567</v>
      </c>
      <c r="S368" s="58" t="s">
        <v>55</v>
      </c>
      <c r="T368" s="5"/>
    </row>
    <row r="369" ht="43.2" spans="1:20">
      <c r="A369" s="65">
        <v>434</v>
      </c>
      <c r="B369" s="79" t="s">
        <v>28</v>
      </c>
      <c r="C369" s="79" t="s">
        <v>93</v>
      </c>
      <c r="D369" s="82" t="s">
        <v>413</v>
      </c>
      <c r="E369" s="67" t="s">
        <v>31</v>
      </c>
      <c r="F369" s="57" t="s">
        <v>568</v>
      </c>
      <c r="G369" s="114" t="s">
        <v>569</v>
      </c>
      <c r="H369" s="76">
        <v>46042</v>
      </c>
      <c r="I369" s="65">
        <v>0</v>
      </c>
      <c r="J369" s="82">
        <v>35485</v>
      </c>
      <c r="K369" s="70" t="s">
        <v>34</v>
      </c>
      <c r="L369" s="65">
        <v>0</v>
      </c>
      <c r="M369" s="82" t="s">
        <v>42</v>
      </c>
      <c r="N369" s="37">
        <f ca="1" t="shared" si="25"/>
        <v>7</v>
      </c>
      <c r="O369" s="70" t="s">
        <v>152</v>
      </c>
      <c r="P369" s="65">
        <v>35485</v>
      </c>
      <c r="Q369" s="66" t="s">
        <v>53</v>
      </c>
      <c r="R369" s="82" t="s">
        <v>570</v>
      </c>
      <c r="S369" s="58" t="s">
        <v>103</v>
      </c>
      <c r="T369" s="5"/>
    </row>
    <row r="370" ht="57.6" spans="1:20">
      <c r="A370" s="30">
        <v>270</v>
      </c>
      <c r="B370" s="31" t="s">
        <v>28</v>
      </c>
      <c r="C370" s="31" t="s">
        <v>561</v>
      </c>
      <c r="D370" s="30" t="s">
        <v>413</v>
      </c>
      <c r="E370" s="33" t="s">
        <v>31</v>
      </c>
      <c r="F370" s="34" t="s">
        <v>562</v>
      </c>
      <c r="G370" s="106" t="s">
        <v>563</v>
      </c>
      <c r="H370" s="89">
        <v>46042</v>
      </c>
      <c r="I370" s="30">
        <v>0</v>
      </c>
      <c r="J370" s="30">
        <v>35200</v>
      </c>
      <c r="K370" s="32" t="s">
        <v>34</v>
      </c>
      <c r="L370" s="30">
        <v>0</v>
      </c>
      <c r="M370" s="30" t="s">
        <v>79</v>
      </c>
      <c r="N370" s="37">
        <f ca="1" t="shared" si="25"/>
        <v>7</v>
      </c>
      <c r="O370" s="61">
        <v>46266</v>
      </c>
      <c r="P370" s="30">
        <f>J370</f>
        <v>35200</v>
      </c>
      <c r="Q370" s="31" t="s">
        <v>205</v>
      </c>
      <c r="R370" s="30" t="s">
        <v>571</v>
      </c>
      <c r="S370" s="39" t="s">
        <v>103</v>
      </c>
      <c r="T370" s="77"/>
    </row>
    <row r="371" ht="57.6" spans="1:20">
      <c r="A371" s="30">
        <v>271</v>
      </c>
      <c r="B371" s="31" t="s">
        <v>28</v>
      </c>
      <c r="C371" s="31" t="s">
        <v>561</v>
      </c>
      <c r="D371" s="30" t="s">
        <v>413</v>
      </c>
      <c r="E371" s="33" t="s">
        <v>31</v>
      </c>
      <c r="F371" s="34" t="s">
        <v>562</v>
      </c>
      <c r="G371" s="106" t="s">
        <v>563</v>
      </c>
      <c r="H371" s="89">
        <v>46042</v>
      </c>
      <c r="I371" s="30">
        <v>0</v>
      </c>
      <c r="J371" s="30">
        <v>44000</v>
      </c>
      <c r="K371" s="32" t="s">
        <v>34</v>
      </c>
      <c r="L371" s="30">
        <v>0</v>
      </c>
      <c r="M371" s="30" t="s">
        <v>79</v>
      </c>
      <c r="N371" s="37">
        <f ca="1" t="shared" si="25"/>
        <v>7</v>
      </c>
      <c r="O371" s="61">
        <v>46266</v>
      </c>
      <c r="P371" s="30">
        <f>J371</f>
        <v>44000</v>
      </c>
      <c r="Q371" s="31" t="s">
        <v>205</v>
      </c>
      <c r="R371" s="30" t="s">
        <v>572</v>
      </c>
      <c r="S371" s="39" t="s">
        <v>103</v>
      </c>
      <c r="T371" s="77"/>
    </row>
    <row r="372" ht="57.6" spans="1:20">
      <c r="A372" s="30">
        <v>272</v>
      </c>
      <c r="B372" s="31" t="s">
        <v>28</v>
      </c>
      <c r="C372" s="31" t="s">
        <v>561</v>
      </c>
      <c r="D372" s="30" t="s">
        <v>76</v>
      </c>
      <c r="E372" s="33" t="s">
        <v>31</v>
      </c>
      <c r="F372" s="34" t="s">
        <v>562</v>
      </c>
      <c r="G372" s="106" t="s">
        <v>563</v>
      </c>
      <c r="H372" s="89">
        <v>46042</v>
      </c>
      <c r="I372" s="30">
        <v>0</v>
      </c>
      <c r="J372" s="30">
        <v>204600</v>
      </c>
      <c r="K372" s="32" t="s">
        <v>34</v>
      </c>
      <c r="L372" s="30">
        <v>0</v>
      </c>
      <c r="M372" s="30" t="s">
        <v>47</v>
      </c>
      <c r="N372" s="37">
        <f ca="1" t="shared" si="25"/>
        <v>7</v>
      </c>
      <c r="O372" s="61">
        <v>46266</v>
      </c>
      <c r="P372" s="30">
        <f>J372</f>
        <v>204600</v>
      </c>
      <c r="Q372" s="31" t="s">
        <v>205</v>
      </c>
      <c r="R372" s="30" t="s">
        <v>573</v>
      </c>
      <c r="S372" s="39" t="s">
        <v>103</v>
      </c>
      <c r="T372" s="77"/>
    </row>
    <row r="373" ht="57.6" spans="1:20">
      <c r="A373" s="30">
        <v>275</v>
      </c>
      <c r="B373" s="31" t="s">
        <v>28</v>
      </c>
      <c r="C373" s="31" t="s">
        <v>561</v>
      </c>
      <c r="D373" s="30" t="s">
        <v>413</v>
      </c>
      <c r="E373" s="33" t="s">
        <v>31</v>
      </c>
      <c r="F373" s="34" t="s">
        <v>562</v>
      </c>
      <c r="G373" s="106" t="s">
        <v>563</v>
      </c>
      <c r="H373" s="89">
        <v>46042</v>
      </c>
      <c r="I373" s="30">
        <v>0</v>
      </c>
      <c r="J373" s="30">
        <v>53680</v>
      </c>
      <c r="K373" s="32" t="s">
        <v>34</v>
      </c>
      <c r="L373" s="30">
        <v>0</v>
      </c>
      <c r="M373" s="30" t="s">
        <v>58</v>
      </c>
      <c r="N373" s="37">
        <f ca="1" t="shared" si="25"/>
        <v>7</v>
      </c>
      <c r="O373" s="61">
        <v>46266</v>
      </c>
      <c r="P373" s="30">
        <f>J373</f>
        <v>53680</v>
      </c>
      <c r="Q373" s="31" t="s">
        <v>205</v>
      </c>
      <c r="R373" s="30" t="s">
        <v>574</v>
      </c>
      <c r="S373" s="39" t="s">
        <v>103</v>
      </c>
      <c r="T373" s="77"/>
    </row>
    <row r="374" ht="43.2" spans="1:20">
      <c r="A374" s="65">
        <v>545</v>
      </c>
      <c r="B374" s="66" t="s">
        <v>28</v>
      </c>
      <c r="C374" s="66" t="s">
        <v>29</v>
      </c>
      <c r="D374" s="65" t="s">
        <v>142</v>
      </c>
      <c r="E374" s="67" t="s">
        <v>31</v>
      </c>
      <c r="F374" s="110" t="s">
        <v>236</v>
      </c>
      <c r="G374" s="83" t="s">
        <v>82</v>
      </c>
      <c r="H374" s="76">
        <v>46042</v>
      </c>
      <c r="I374" s="65">
        <v>0</v>
      </c>
      <c r="J374" s="65">
        <v>101068</v>
      </c>
      <c r="K374" s="70" t="s">
        <v>34</v>
      </c>
      <c r="L374" s="65">
        <v>0</v>
      </c>
      <c r="M374" s="65" t="s">
        <v>42</v>
      </c>
      <c r="N374" s="37">
        <f ca="1" t="shared" si="25"/>
        <v>7</v>
      </c>
      <c r="O374" s="57" t="s">
        <v>52</v>
      </c>
      <c r="P374" s="65">
        <v>101068</v>
      </c>
      <c r="Q374" s="66" t="s">
        <v>205</v>
      </c>
      <c r="R374" s="65" t="s">
        <v>575</v>
      </c>
      <c r="S374" s="5" t="s">
        <v>103</v>
      </c>
    </row>
    <row r="375" ht="57.6" spans="1:20">
      <c r="A375" s="41">
        <v>276</v>
      </c>
      <c r="B375" s="42" t="s">
        <v>28</v>
      </c>
      <c r="C375" s="42" t="s">
        <v>576</v>
      </c>
      <c r="D375" s="41" t="s">
        <v>254</v>
      </c>
      <c r="E375" s="165" t="s">
        <v>41</v>
      </c>
      <c r="F375" s="174" t="s">
        <v>41</v>
      </c>
      <c r="G375" s="166" t="s">
        <v>41</v>
      </c>
      <c r="H375" s="75">
        <v>46044</v>
      </c>
      <c r="I375" s="41">
        <v>0</v>
      </c>
      <c r="J375" s="41">
        <v>98000</v>
      </c>
      <c r="K375" s="43" t="s">
        <v>34</v>
      </c>
      <c r="L375" s="41">
        <v>0</v>
      </c>
      <c r="M375" s="41" t="s">
        <v>47</v>
      </c>
      <c r="N375" s="37">
        <f ca="1" t="shared" si="25"/>
        <v>6.93333333333333</v>
      </c>
      <c r="O375" s="47">
        <v>46266</v>
      </c>
      <c r="P375" s="41">
        <f>J375</f>
        <v>98000</v>
      </c>
      <c r="Q375" s="63" t="s">
        <v>185</v>
      </c>
      <c r="R375" s="41" t="s">
        <v>577</v>
      </c>
      <c r="S375" s="48" t="s">
        <v>103</v>
      </c>
      <c r="T375" s="50"/>
    </row>
    <row r="376" ht="43.2" spans="1:20">
      <c r="A376" s="65">
        <v>354</v>
      </c>
      <c r="B376" s="79" t="s">
        <v>28</v>
      </c>
      <c r="C376" s="105" t="s">
        <v>456</v>
      </c>
      <c r="D376" s="82" t="s">
        <v>413</v>
      </c>
      <c r="E376" s="171" t="s">
        <v>41</v>
      </c>
      <c r="F376" s="171" t="s">
        <v>41</v>
      </c>
      <c r="G376" s="172" t="s">
        <v>41</v>
      </c>
      <c r="H376" s="76">
        <v>46044</v>
      </c>
      <c r="I376" s="65">
        <v>0</v>
      </c>
      <c r="J376" s="82">
        <v>113600</v>
      </c>
      <c r="K376" s="70" t="s">
        <v>34</v>
      </c>
      <c r="L376" s="65">
        <v>0</v>
      </c>
      <c r="M376" s="84" t="s">
        <v>484</v>
      </c>
      <c r="N376" s="37">
        <f ca="1" t="shared" si="25"/>
        <v>6.93333333333333</v>
      </c>
      <c r="O376" s="57" t="s">
        <v>52</v>
      </c>
      <c r="P376" s="65">
        <v>113600</v>
      </c>
      <c r="Q376" s="66" t="s">
        <v>53</v>
      </c>
      <c r="R376" s="82" t="s">
        <v>578</v>
      </c>
      <c r="S376" s="58" t="s">
        <v>103</v>
      </c>
      <c r="T376" s="5"/>
    </row>
    <row r="377" ht="43.2" spans="1:20">
      <c r="A377" s="65">
        <v>273</v>
      </c>
      <c r="B377" s="79" t="s">
        <v>28</v>
      </c>
      <c r="C377" s="79" t="s">
        <v>29</v>
      </c>
      <c r="D377" s="82" t="s">
        <v>57</v>
      </c>
      <c r="E377" s="67" t="s">
        <v>31</v>
      </c>
      <c r="F377" s="57" t="s">
        <v>236</v>
      </c>
      <c r="G377" s="68" t="s">
        <v>82</v>
      </c>
      <c r="H377" s="76">
        <v>46044</v>
      </c>
      <c r="I377" s="65">
        <v>0</v>
      </c>
      <c r="J377" s="82">
        <v>29260</v>
      </c>
      <c r="K377" s="70" t="s">
        <v>34</v>
      </c>
      <c r="L377" s="65">
        <v>0</v>
      </c>
      <c r="M377" s="82" t="s">
        <v>58</v>
      </c>
      <c r="N377" s="37">
        <f ca="1" t="shared" si="25"/>
        <v>6.93333333333333</v>
      </c>
      <c r="O377" s="70" t="s">
        <v>179</v>
      </c>
      <c r="P377" s="65">
        <f>J377</f>
        <v>29260</v>
      </c>
      <c r="Q377" s="66" t="s">
        <v>180</v>
      </c>
      <c r="R377" s="82" t="s">
        <v>579</v>
      </c>
      <c r="S377" s="58" t="s">
        <v>55</v>
      </c>
      <c r="T377" s="5"/>
    </row>
    <row r="378" ht="43.2" spans="1:20">
      <c r="A378" s="65">
        <v>358</v>
      </c>
      <c r="B378" s="79" t="s">
        <v>28</v>
      </c>
      <c r="C378" s="105" t="s">
        <v>456</v>
      </c>
      <c r="D378" s="82" t="s">
        <v>413</v>
      </c>
      <c r="E378" s="171" t="s">
        <v>41</v>
      </c>
      <c r="F378" s="171" t="s">
        <v>41</v>
      </c>
      <c r="G378" s="172" t="s">
        <v>41</v>
      </c>
      <c r="H378" s="76">
        <v>46049</v>
      </c>
      <c r="I378" s="65">
        <v>0</v>
      </c>
      <c r="J378" s="82">
        <v>88400</v>
      </c>
      <c r="K378" s="70" t="s">
        <v>34</v>
      </c>
      <c r="L378" s="65">
        <v>0</v>
      </c>
      <c r="M378" s="82" t="s">
        <v>58</v>
      </c>
      <c r="N378" s="37">
        <f ca="1" t="shared" si="25"/>
        <v>6.76666666666667</v>
      </c>
      <c r="O378" s="57" t="s">
        <v>52</v>
      </c>
      <c r="P378" s="65">
        <v>88400</v>
      </c>
      <c r="Q378" s="66" t="s">
        <v>53</v>
      </c>
      <c r="R378" s="82" t="s">
        <v>580</v>
      </c>
      <c r="S378" s="58" t="s">
        <v>103</v>
      </c>
      <c r="T378" s="5"/>
    </row>
    <row r="379" ht="43.2" spans="1:20">
      <c r="A379" s="65">
        <v>359</v>
      </c>
      <c r="B379" s="79" t="s">
        <v>28</v>
      </c>
      <c r="C379" s="105" t="s">
        <v>456</v>
      </c>
      <c r="D379" s="82" t="s">
        <v>413</v>
      </c>
      <c r="E379" s="171" t="s">
        <v>41</v>
      </c>
      <c r="F379" s="171" t="s">
        <v>41</v>
      </c>
      <c r="G379" s="172" t="s">
        <v>41</v>
      </c>
      <c r="H379" s="76">
        <v>46049</v>
      </c>
      <c r="I379" s="65">
        <v>0</v>
      </c>
      <c r="J379" s="82">
        <v>66560</v>
      </c>
      <c r="K379" s="70" t="s">
        <v>34</v>
      </c>
      <c r="L379" s="65">
        <v>0</v>
      </c>
      <c r="M379" s="82" t="s">
        <v>58</v>
      </c>
      <c r="N379" s="37">
        <f ca="1" t="shared" si="25"/>
        <v>6.76666666666667</v>
      </c>
      <c r="O379" s="57" t="s">
        <v>52</v>
      </c>
      <c r="P379" s="65">
        <v>66560</v>
      </c>
      <c r="Q379" s="66" t="s">
        <v>53</v>
      </c>
      <c r="R379" s="82" t="s">
        <v>580</v>
      </c>
      <c r="S379" s="58" t="s">
        <v>103</v>
      </c>
      <c r="T379" s="5"/>
    </row>
    <row r="380" ht="43.2" spans="1:20">
      <c r="A380" s="65">
        <v>435</v>
      </c>
      <c r="B380" s="79" t="s">
        <v>28</v>
      </c>
      <c r="C380" s="79" t="s">
        <v>93</v>
      </c>
      <c r="D380" s="82" t="s">
        <v>413</v>
      </c>
      <c r="E380" s="67" t="s">
        <v>31</v>
      </c>
      <c r="F380" s="57" t="s">
        <v>568</v>
      </c>
      <c r="G380" s="114" t="s">
        <v>569</v>
      </c>
      <c r="H380" s="76">
        <v>46049</v>
      </c>
      <c r="I380" s="65">
        <v>0</v>
      </c>
      <c r="J380" s="82">
        <v>184240</v>
      </c>
      <c r="K380" s="70" t="s">
        <v>34</v>
      </c>
      <c r="L380" s="65">
        <v>0</v>
      </c>
      <c r="M380" s="82" t="s">
        <v>42</v>
      </c>
      <c r="N380" s="37">
        <f ca="1" t="shared" si="25"/>
        <v>6.76666666666667</v>
      </c>
      <c r="O380" s="70" t="s">
        <v>152</v>
      </c>
      <c r="P380" s="65">
        <v>184240</v>
      </c>
      <c r="Q380" s="66" t="s">
        <v>53</v>
      </c>
      <c r="R380" s="82" t="s">
        <v>581</v>
      </c>
      <c r="S380" s="58" t="s">
        <v>103</v>
      </c>
      <c r="T380" s="5"/>
    </row>
    <row r="381" ht="72" spans="1:20">
      <c r="A381" s="65">
        <v>278</v>
      </c>
      <c r="B381" s="79" t="s">
        <v>28</v>
      </c>
      <c r="C381" s="79" t="s">
        <v>582</v>
      </c>
      <c r="D381" s="82" t="s">
        <v>30</v>
      </c>
      <c r="E381" s="171" t="s">
        <v>41</v>
      </c>
      <c r="F381" s="176" t="s">
        <v>41</v>
      </c>
      <c r="G381" s="172" t="s">
        <v>41</v>
      </c>
      <c r="H381" s="76">
        <v>46050</v>
      </c>
      <c r="I381" s="65">
        <v>0</v>
      </c>
      <c r="J381" s="82">
        <v>55000</v>
      </c>
      <c r="K381" s="70" t="s">
        <v>34</v>
      </c>
      <c r="L381" s="65">
        <v>0</v>
      </c>
      <c r="M381" s="82" t="s">
        <v>42</v>
      </c>
      <c r="N381" s="37">
        <f ca="1" t="shared" ref="N381:N444" si="26">(TODAY()-H381)/30</f>
        <v>6.73333333333333</v>
      </c>
      <c r="O381" s="71">
        <v>46296</v>
      </c>
      <c r="P381" s="65">
        <f>J381</f>
        <v>55000</v>
      </c>
      <c r="Q381" s="66" t="s">
        <v>583</v>
      </c>
      <c r="R381" s="82" t="s">
        <v>584</v>
      </c>
      <c r="S381" s="58" t="s">
        <v>55</v>
      </c>
      <c r="T381" s="5"/>
    </row>
    <row r="382" ht="43.2" spans="1:20">
      <c r="A382" s="65">
        <v>436</v>
      </c>
      <c r="B382" s="79" t="s">
        <v>28</v>
      </c>
      <c r="C382" s="79" t="s">
        <v>93</v>
      </c>
      <c r="D382" s="82" t="s">
        <v>413</v>
      </c>
      <c r="E382" s="67" t="s">
        <v>31</v>
      </c>
      <c r="F382" s="57" t="s">
        <v>568</v>
      </c>
      <c r="G382" s="114" t="s">
        <v>585</v>
      </c>
      <c r="H382" s="76">
        <v>46051</v>
      </c>
      <c r="I382" s="65">
        <v>0</v>
      </c>
      <c r="J382" s="82">
        <v>13066</v>
      </c>
      <c r="K382" s="70" t="s">
        <v>34</v>
      </c>
      <c r="L382" s="65">
        <v>0</v>
      </c>
      <c r="M382" s="82" t="s">
        <v>42</v>
      </c>
      <c r="N382" s="37">
        <f ca="1" t="shared" si="26"/>
        <v>6.7</v>
      </c>
      <c r="O382" s="70" t="s">
        <v>152</v>
      </c>
      <c r="P382" s="65">
        <v>13066</v>
      </c>
      <c r="Q382" s="66" t="s">
        <v>53</v>
      </c>
      <c r="R382" s="82" t="s">
        <v>586</v>
      </c>
      <c r="S382" s="58" t="s">
        <v>103</v>
      </c>
      <c r="T382" s="5"/>
    </row>
    <row r="383" ht="43.2" spans="1:20">
      <c r="A383" s="65">
        <v>279</v>
      </c>
      <c r="B383" s="79" t="s">
        <v>28</v>
      </c>
      <c r="C383" s="79" t="s">
        <v>456</v>
      </c>
      <c r="D383" s="82" t="s">
        <v>413</v>
      </c>
      <c r="E383" s="171" t="s">
        <v>41</v>
      </c>
      <c r="F383" s="176" t="s">
        <v>41</v>
      </c>
      <c r="G383" s="172" t="s">
        <v>41</v>
      </c>
      <c r="H383" s="76">
        <v>46052</v>
      </c>
      <c r="I383" s="65">
        <v>0</v>
      </c>
      <c r="J383" s="82">
        <v>4000</v>
      </c>
      <c r="K383" s="70" t="s">
        <v>34</v>
      </c>
      <c r="L383" s="65">
        <v>0</v>
      </c>
      <c r="M383" s="82" t="s">
        <v>35</v>
      </c>
      <c r="N383" s="37">
        <f ca="1" t="shared" si="26"/>
        <v>6.66666666666667</v>
      </c>
      <c r="O383" s="57" t="s">
        <v>52</v>
      </c>
      <c r="P383" s="65">
        <f>J383</f>
        <v>4000</v>
      </c>
      <c r="Q383" s="66" t="s">
        <v>53</v>
      </c>
      <c r="R383" s="82" t="s">
        <v>587</v>
      </c>
      <c r="S383" s="58" t="s">
        <v>103</v>
      </c>
      <c r="T383" s="5"/>
    </row>
    <row r="384" ht="43.2" spans="1:20">
      <c r="A384" s="65">
        <v>360</v>
      </c>
      <c r="B384" s="79" t="s">
        <v>28</v>
      </c>
      <c r="C384" s="105" t="s">
        <v>456</v>
      </c>
      <c r="D384" s="82" t="s">
        <v>413</v>
      </c>
      <c r="E384" s="171" t="s">
        <v>41</v>
      </c>
      <c r="F384" s="171" t="s">
        <v>41</v>
      </c>
      <c r="G384" s="172" t="s">
        <v>41</v>
      </c>
      <c r="H384" s="76">
        <v>46052</v>
      </c>
      <c r="I384" s="65">
        <v>0</v>
      </c>
      <c r="J384" s="82">
        <v>88800</v>
      </c>
      <c r="K384" s="70" t="s">
        <v>34</v>
      </c>
      <c r="L384" s="65">
        <v>0</v>
      </c>
      <c r="M384" s="82" t="s">
        <v>58</v>
      </c>
      <c r="N384" s="37">
        <f ca="1" t="shared" si="26"/>
        <v>6.66666666666667</v>
      </c>
      <c r="O384" s="57" t="s">
        <v>52</v>
      </c>
      <c r="P384" s="65">
        <v>88800</v>
      </c>
      <c r="Q384" s="66" t="s">
        <v>53</v>
      </c>
      <c r="R384" s="82" t="s">
        <v>588</v>
      </c>
      <c r="S384" s="58" t="s">
        <v>103</v>
      </c>
      <c r="T384" s="5"/>
    </row>
    <row r="385" ht="43.2" spans="1:20">
      <c r="A385" s="65">
        <v>367</v>
      </c>
      <c r="B385" s="79" t="s">
        <v>28</v>
      </c>
      <c r="C385" s="105" t="s">
        <v>456</v>
      </c>
      <c r="D385" s="82" t="s">
        <v>413</v>
      </c>
      <c r="E385" s="171" t="s">
        <v>41</v>
      </c>
      <c r="F385" s="171" t="s">
        <v>41</v>
      </c>
      <c r="G385" s="172" t="s">
        <v>41</v>
      </c>
      <c r="H385" s="76">
        <v>46052</v>
      </c>
      <c r="I385" s="65">
        <v>0</v>
      </c>
      <c r="J385" s="82">
        <v>11480</v>
      </c>
      <c r="K385" s="70" t="s">
        <v>34</v>
      </c>
      <c r="L385" s="65">
        <v>0</v>
      </c>
      <c r="M385" s="82" t="s">
        <v>79</v>
      </c>
      <c r="N385" s="37">
        <f ca="1" t="shared" si="26"/>
        <v>6.66666666666667</v>
      </c>
      <c r="O385" s="57" t="s">
        <v>52</v>
      </c>
      <c r="P385" s="65">
        <v>11480</v>
      </c>
      <c r="Q385" s="66" t="s">
        <v>53</v>
      </c>
      <c r="R385" s="82" t="s">
        <v>589</v>
      </c>
      <c r="S385" s="58" t="s">
        <v>103</v>
      </c>
      <c r="T385" s="5"/>
    </row>
    <row r="386" ht="86.4" spans="1:20">
      <c r="A386" s="65">
        <v>280</v>
      </c>
      <c r="B386" s="79" t="s">
        <v>28</v>
      </c>
      <c r="C386" s="79" t="s">
        <v>590</v>
      </c>
      <c r="D386" s="82" t="s">
        <v>413</v>
      </c>
      <c r="E386" s="171" t="s">
        <v>41</v>
      </c>
      <c r="F386" s="176" t="s">
        <v>41</v>
      </c>
      <c r="G386" s="172" t="s">
        <v>41</v>
      </c>
      <c r="H386" s="76">
        <v>46052</v>
      </c>
      <c r="I386" s="65">
        <v>0</v>
      </c>
      <c r="J386" s="82">
        <v>4400</v>
      </c>
      <c r="K386" s="70" t="s">
        <v>34</v>
      </c>
      <c r="L386" s="65">
        <v>0</v>
      </c>
      <c r="M386" s="82" t="s">
        <v>79</v>
      </c>
      <c r="N386" s="37">
        <f ca="1" t="shared" si="26"/>
        <v>6.66666666666667</v>
      </c>
      <c r="O386" s="71">
        <v>46266</v>
      </c>
      <c r="P386" s="65">
        <f>J386</f>
        <v>4400</v>
      </c>
      <c r="Q386" s="57" t="s">
        <v>185</v>
      </c>
      <c r="R386" s="82" t="s">
        <v>591</v>
      </c>
      <c r="S386" s="58" t="s">
        <v>55</v>
      </c>
      <c r="T386" s="5"/>
    </row>
    <row r="387" ht="43.2" spans="1:20">
      <c r="A387" s="65">
        <v>440</v>
      </c>
      <c r="B387" s="79" t="s">
        <v>28</v>
      </c>
      <c r="C387" s="79" t="s">
        <v>93</v>
      </c>
      <c r="D387" s="82" t="s">
        <v>413</v>
      </c>
      <c r="E387" s="67" t="s">
        <v>31</v>
      </c>
      <c r="F387" s="57" t="s">
        <v>568</v>
      </c>
      <c r="G387" s="114" t="s">
        <v>585</v>
      </c>
      <c r="H387" s="76">
        <v>46052</v>
      </c>
      <c r="I387" s="65">
        <v>0</v>
      </c>
      <c r="J387" s="82">
        <v>4700</v>
      </c>
      <c r="K387" s="70" t="s">
        <v>34</v>
      </c>
      <c r="L387" s="65">
        <v>0</v>
      </c>
      <c r="M387" s="82" t="s">
        <v>35</v>
      </c>
      <c r="N387" s="37">
        <f ca="1" t="shared" si="26"/>
        <v>6.66666666666667</v>
      </c>
      <c r="O387" s="70" t="s">
        <v>152</v>
      </c>
      <c r="P387" s="65">
        <v>4700</v>
      </c>
      <c r="Q387" s="66" t="s">
        <v>53</v>
      </c>
      <c r="R387" s="82" t="s">
        <v>592</v>
      </c>
      <c r="S387" s="58" t="s">
        <v>103</v>
      </c>
      <c r="T387" s="5"/>
    </row>
    <row r="388" ht="43.2" spans="1:20">
      <c r="A388" s="65">
        <v>546</v>
      </c>
      <c r="B388" s="79" t="s">
        <v>28</v>
      </c>
      <c r="C388" s="79" t="s">
        <v>29</v>
      </c>
      <c r="D388" s="82" t="s">
        <v>142</v>
      </c>
      <c r="E388" s="171" t="s">
        <v>41</v>
      </c>
      <c r="F388" s="171" t="s">
        <v>41</v>
      </c>
      <c r="G388" s="172" t="s">
        <v>41</v>
      </c>
      <c r="H388" s="76">
        <v>46052</v>
      </c>
      <c r="I388" s="65">
        <v>0</v>
      </c>
      <c r="J388" s="82">
        <v>6600</v>
      </c>
      <c r="K388" s="70" t="s">
        <v>34</v>
      </c>
      <c r="L388" s="65">
        <v>0</v>
      </c>
      <c r="M388" s="82" t="s">
        <v>35</v>
      </c>
      <c r="N388" s="37">
        <f ca="1" t="shared" si="26"/>
        <v>6.66666666666667</v>
      </c>
      <c r="O388" s="71">
        <v>46296</v>
      </c>
      <c r="P388" s="65">
        <v>6600</v>
      </c>
      <c r="Q388" s="66" t="s">
        <v>468</v>
      </c>
      <c r="R388" s="82" t="s">
        <v>593</v>
      </c>
      <c r="S388" s="5"/>
    </row>
    <row r="389" ht="43.2" spans="1:20">
      <c r="A389" s="65">
        <v>357</v>
      </c>
      <c r="B389" s="79" t="s">
        <v>28</v>
      </c>
      <c r="C389" s="105" t="s">
        <v>456</v>
      </c>
      <c r="D389" s="82" t="s">
        <v>413</v>
      </c>
      <c r="E389" s="171" t="s">
        <v>41</v>
      </c>
      <c r="F389" s="171" t="s">
        <v>41</v>
      </c>
      <c r="G389" s="172" t="s">
        <v>41</v>
      </c>
      <c r="H389" s="76">
        <v>46057</v>
      </c>
      <c r="I389" s="65">
        <v>0</v>
      </c>
      <c r="J389" s="82">
        <v>52720</v>
      </c>
      <c r="K389" s="70" t="s">
        <v>34</v>
      </c>
      <c r="L389" s="65">
        <v>0</v>
      </c>
      <c r="M389" s="82" t="s">
        <v>58</v>
      </c>
      <c r="N389" s="37">
        <f ca="1" t="shared" si="26"/>
        <v>6.5</v>
      </c>
      <c r="O389" s="57" t="s">
        <v>52</v>
      </c>
      <c r="P389" s="65">
        <v>52720</v>
      </c>
      <c r="Q389" s="66" t="s">
        <v>53</v>
      </c>
      <c r="R389" s="82" t="s">
        <v>594</v>
      </c>
      <c r="S389" s="58" t="s">
        <v>103</v>
      </c>
      <c r="T389" s="5"/>
    </row>
    <row r="390" ht="72" spans="1:20">
      <c r="A390" s="41">
        <v>277</v>
      </c>
      <c r="B390" s="42" t="s">
        <v>28</v>
      </c>
      <c r="C390" s="42" t="s">
        <v>380</v>
      </c>
      <c r="D390" s="41" t="s">
        <v>57</v>
      </c>
      <c r="E390" s="165" t="s">
        <v>41</v>
      </c>
      <c r="F390" s="174" t="s">
        <v>41</v>
      </c>
      <c r="G390" s="166" t="s">
        <v>41</v>
      </c>
      <c r="H390" s="75">
        <v>46057</v>
      </c>
      <c r="I390" s="41">
        <v>0</v>
      </c>
      <c r="J390" s="41">
        <v>9925.5</v>
      </c>
      <c r="K390" s="43" t="s">
        <v>34</v>
      </c>
      <c r="L390" s="41">
        <v>0</v>
      </c>
      <c r="M390" s="41" t="s">
        <v>47</v>
      </c>
      <c r="N390" s="37">
        <f ca="1" t="shared" si="26"/>
        <v>6.5</v>
      </c>
      <c r="O390" s="47">
        <v>46266</v>
      </c>
      <c r="P390" s="41">
        <f>J390</f>
        <v>9925.5</v>
      </c>
      <c r="Q390" s="63" t="s">
        <v>185</v>
      </c>
      <c r="R390" s="41" t="s">
        <v>595</v>
      </c>
      <c r="S390" s="48" t="s">
        <v>45</v>
      </c>
      <c r="T390" s="50"/>
    </row>
    <row r="391" ht="72" spans="1:20">
      <c r="A391" s="41">
        <v>287</v>
      </c>
      <c r="B391" s="42" t="s">
        <v>28</v>
      </c>
      <c r="C391" s="42" t="s">
        <v>380</v>
      </c>
      <c r="D391" s="41" t="s">
        <v>57</v>
      </c>
      <c r="E391" s="165" t="s">
        <v>41</v>
      </c>
      <c r="F391" s="174" t="s">
        <v>41</v>
      </c>
      <c r="G391" s="166" t="s">
        <v>41</v>
      </c>
      <c r="H391" s="75">
        <v>46057</v>
      </c>
      <c r="I391" s="41">
        <v>0</v>
      </c>
      <c r="J391" s="41">
        <v>8154.94</v>
      </c>
      <c r="K391" s="43" t="s">
        <v>34</v>
      </c>
      <c r="L391" s="41">
        <v>0</v>
      </c>
      <c r="M391" s="41" t="s">
        <v>47</v>
      </c>
      <c r="N391" s="37">
        <f ca="1" t="shared" si="26"/>
        <v>6.5</v>
      </c>
      <c r="O391" s="47">
        <v>46266</v>
      </c>
      <c r="P391" s="41">
        <f>J391</f>
        <v>8154.94</v>
      </c>
      <c r="Q391" s="63" t="s">
        <v>185</v>
      </c>
      <c r="R391" s="41" t="s">
        <v>596</v>
      </c>
      <c r="S391" s="48" t="s">
        <v>45</v>
      </c>
      <c r="T391" s="50"/>
    </row>
    <row r="392" ht="72" spans="1:20">
      <c r="A392" s="41">
        <v>288</v>
      </c>
      <c r="B392" s="42" t="s">
        <v>28</v>
      </c>
      <c r="C392" s="42" t="s">
        <v>380</v>
      </c>
      <c r="D392" s="41" t="s">
        <v>57</v>
      </c>
      <c r="E392" s="165" t="s">
        <v>41</v>
      </c>
      <c r="F392" s="174" t="s">
        <v>41</v>
      </c>
      <c r="G392" s="166" t="s">
        <v>41</v>
      </c>
      <c r="H392" s="75">
        <v>46057</v>
      </c>
      <c r="I392" s="41">
        <v>0</v>
      </c>
      <c r="J392" s="41">
        <v>7062.64</v>
      </c>
      <c r="K392" s="43" t="s">
        <v>34</v>
      </c>
      <c r="L392" s="41">
        <v>0</v>
      </c>
      <c r="M392" s="41" t="s">
        <v>47</v>
      </c>
      <c r="N392" s="37">
        <f ca="1" t="shared" si="26"/>
        <v>6.5</v>
      </c>
      <c r="O392" s="47">
        <v>46266</v>
      </c>
      <c r="P392" s="41">
        <f>J392</f>
        <v>7062.64</v>
      </c>
      <c r="Q392" s="63" t="s">
        <v>185</v>
      </c>
      <c r="R392" s="41" t="s">
        <v>597</v>
      </c>
      <c r="S392" s="48" t="s">
        <v>45</v>
      </c>
      <c r="T392" s="50"/>
    </row>
    <row r="393" ht="72" spans="1:20">
      <c r="A393" s="41">
        <v>289</v>
      </c>
      <c r="B393" s="42" t="s">
        <v>28</v>
      </c>
      <c r="C393" s="42" t="s">
        <v>380</v>
      </c>
      <c r="D393" s="41" t="s">
        <v>57</v>
      </c>
      <c r="E393" s="165" t="s">
        <v>41</v>
      </c>
      <c r="F393" s="174" t="s">
        <v>41</v>
      </c>
      <c r="G393" s="166" t="s">
        <v>41</v>
      </c>
      <c r="H393" s="75">
        <v>46057</v>
      </c>
      <c r="I393" s="41">
        <v>0</v>
      </c>
      <c r="J393" s="41">
        <v>6173</v>
      </c>
      <c r="K393" s="43" t="s">
        <v>34</v>
      </c>
      <c r="L393" s="41">
        <v>0</v>
      </c>
      <c r="M393" s="41" t="s">
        <v>47</v>
      </c>
      <c r="N393" s="37">
        <f ca="1" t="shared" si="26"/>
        <v>6.5</v>
      </c>
      <c r="O393" s="47">
        <v>46266</v>
      </c>
      <c r="P393" s="41">
        <f>J393</f>
        <v>6173</v>
      </c>
      <c r="Q393" s="63" t="s">
        <v>185</v>
      </c>
      <c r="R393" s="41" t="s">
        <v>598</v>
      </c>
      <c r="S393" s="48" t="s">
        <v>45</v>
      </c>
      <c r="T393" s="50"/>
    </row>
    <row r="394" ht="43.2" spans="1:20">
      <c r="A394" s="65">
        <v>437</v>
      </c>
      <c r="B394" s="79" t="s">
        <v>28</v>
      </c>
      <c r="C394" s="79" t="s">
        <v>93</v>
      </c>
      <c r="D394" s="82" t="s">
        <v>413</v>
      </c>
      <c r="E394" s="67" t="s">
        <v>31</v>
      </c>
      <c r="F394" s="57" t="s">
        <v>568</v>
      </c>
      <c r="G394" s="114" t="s">
        <v>585</v>
      </c>
      <c r="H394" s="76">
        <v>46057</v>
      </c>
      <c r="I394" s="65">
        <v>0</v>
      </c>
      <c r="J394" s="82">
        <v>27683</v>
      </c>
      <c r="K394" s="70" t="s">
        <v>34</v>
      </c>
      <c r="L394" s="65">
        <v>0</v>
      </c>
      <c r="M394" s="82" t="s">
        <v>79</v>
      </c>
      <c r="N394" s="37">
        <f ca="1" t="shared" si="26"/>
        <v>6.5</v>
      </c>
      <c r="O394" s="70" t="s">
        <v>152</v>
      </c>
      <c r="P394" s="65">
        <v>27683</v>
      </c>
      <c r="Q394" s="66" t="s">
        <v>53</v>
      </c>
      <c r="R394" s="82" t="s">
        <v>599</v>
      </c>
      <c r="S394" s="58" t="s">
        <v>103</v>
      </c>
      <c r="T394" s="5"/>
    </row>
    <row r="395" ht="43.2" spans="1:20">
      <c r="A395" s="65">
        <v>438</v>
      </c>
      <c r="B395" s="79" t="s">
        <v>28</v>
      </c>
      <c r="C395" s="79" t="s">
        <v>93</v>
      </c>
      <c r="D395" s="82" t="s">
        <v>413</v>
      </c>
      <c r="E395" s="67" t="s">
        <v>31</v>
      </c>
      <c r="F395" s="57" t="s">
        <v>568</v>
      </c>
      <c r="G395" s="114" t="s">
        <v>585</v>
      </c>
      <c r="H395" s="76">
        <v>46057</v>
      </c>
      <c r="I395" s="65">
        <v>0</v>
      </c>
      <c r="J395" s="82">
        <v>5311</v>
      </c>
      <c r="K395" s="70" t="s">
        <v>34</v>
      </c>
      <c r="L395" s="65">
        <v>0</v>
      </c>
      <c r="M395" s="82" t="s">
        <v>79</v>
      </c>
      <c r="N395" s="37">
        <f ca="1" t="shared" si="26"/>
        <v>6.5</v>
      </c>
      <c r="O395" s="70" t="s">
        <v>152</v>
      </c>
      <c r="P395" s="65">
        <v>5311</v>
      </c>
      <c r="Q395" s="66" t="s">
        <v>53</v>
      </c>
      <c r="R395" s="82" t="s">
        <v>600</v>
      </c>
      <c r="S395" s="58" t="s">
        <v>103</v>
      </c>
      <c r="T395" s="5"/>
    </row>
    <row r="396" ht="43.2" spans="1:20">
      <c r="A396" s="65">
        <v>441</v>
      </c>
      <c r="B396" s="79" t="s">
        <v>28</v>
      </c>
      <c r="C396" s="79" t="s">
        <v>93</v>
      </c>
      <c r="D396" s="82" t="s">
        <v>413</v>
      </c>
      <c r="E396" s="67" t="s">
        <v>31</v>
      </c>
      <c r="F396" s="57" t="s">
        <v>568</v>
      </c>
      <c r="G396" s="114" t="s">
        <v>585</v>
      </c>
      <c r="H396" s="76">
        <v>46057</v>
      </c>
      <c r="I396" s="65">
        <v>0</v>
      </c>
      <c r="J396" s="82">
        <v>22325</v>
      </c>
      <c r="K396" s="70" t="s">
        <v>34</v>
      </c>
      <c r="L396" s="65">
        <v>0</v>
      </c>
      <c r="M396" s="82" t="s">
        <v>47</v>
      </c>
      <c r="N396" s="37">
        <f ca="1" t="shared" si="26"/>
        <v>6.5</v>
      </c>
      <c r="O396" s="70" t="s">
        <v>152</v>
      </c>
      <c r="P396" s="65">
        <v>22325</v>
      </c>
      <c r="Q396" s="66" t="s">
        <v>53</v>
      </c>
      <c r="R396" s="82" t="s">
        <v>601</v>
      </c>
      <c r="S396" s="58" t="s">
        <v>103</v>
      </c>
      <c r="T396" s="5"/>
    </row>
    <row r="397" ht="43.2" spans="1:20">
      <c r="A397" s="65">
        <v>282</v>
      </c>
      <c r="B397" s="79" t="s">
        <v>28</v>
      </c>
      <c r="C397" s="79" t="s">
        <v>456</v>
      </c>
      <c r="D397" s="82" t="s">
        <v>413</v>
      </c>
      <c r="E397" s="171" t="s">
        <v>41</v>
      </c>
      <c r="F397" s="176" t="s">
        <v>41</v>
      </c>
      <c r="G397" s="172" t="s">
        <v>41</v>
      </c>
      <c r="H397" s="76">
        <v>46059</v>
      </c>
      <c r="I397" s="65">
        <v>0</v>
      </c>
      <c r="J397" s="82">
        <v>11160</v>
      </c>
      <c r="K397" s="70" t="s">
        <v>34</v>
      </c>
      <c r="L397" s="65">
        <v>0</v>
      </c>
      <c r="M397" s="82" t="s">
        <v>35</v>
      </c>
      <c r="N397" s="37">
        <f ca="1" t="shared" si="26"/>
        <v>6.43333333333333</v>
      </c>
      <c r="O397" s="57" t="s">
        <v>52</v>
      </c>
      <c r="P397" s="65">
        <f>J397</f>
        <v>11160</v>
      </c>
      <c r="Q397" s="66" t="s">
        <v>53</v>
      </c>
      <c r="R397" s="82" t="s">
        <v>602</v>
      </c>
      <c r="S397" s="58" t="s">
        <v>103</v>
      </c>
      <c r="T397" s="5"/>
    </row>
    <row r="398" ht="43.2" spans="1:20">
      <c r="A398" s="65">
        <v>283</v>
      </c>
      <c r="B398" s="79" t="s">
        <v>28</v>
      </c>
      <c r="C398" s="79" t="s">
        <v>456</v>
      </c>
      <c r="D398" s="82" t="s">
        <v>413</v>
      </c>
      <c r="E398" s="171" t="s">
        <v>41</v>
      </c>
      <c r="F398" s="176" t="s">
        <v>41</v>
      </c>
      <c r="G398" s="172" t="s">
        <v>41</v>
      </c>
      <c r="H398" s="76">
        <v>46059</v>
      </c>
      <c r="I398" s="65">
        <v>0</v>
      </c>
      <c r="J398" s="82">
        <v>6880</v>
      </c>
      <c r="K398" s="70" t="s">
        <v>34</v>
      </c>
      <c r="L398" s="65">
        <v>0</v>
      </c>
      <c r="M398" s="82" t="s">
        <v>35</v>
      </c>
      <c r="N398" s="37">
        <f ca="1" t="shared" si="26"/>
        <v>6.43333333333333</v>
      </c>
      <c r="O398" s="57" t="s">
        <v>52</v>
      </c>
      <c r="P398" s="65">
        <f>J398</f>
        <v>6880</v>
      </c>
      <c r="Q398" s="66" t="s">
        <v>53</v>
      </c>
      <c r="R398" s="82" t="s">
        <v>602</v>
      </c>
      <c r="S398" s="58" t="s">
        <v>103</v>
      </c>
      <c r="T398" s="5"/>
    </row>
    <row r="399" ht="43.2" spans="1:20">
      <c r="A399" s="65">
        <v>363</v>
      </c>
      <c r="B399" s="79" t="s">
        <v>28</v>
      </c>
      <c r="C399" s="105" t="s">
        <v>456</v>
      </c>
      <c r="D399" s="82" t="s">
        <v>413</v>
      </c>
      <c r="E399" s="171" t="s">
        <v>41</v>
      </c>
      <c r="F399" s="171" t="s">
        <v>41</v>
      </c>
      <c r="G399" s="172" t="s">
        <v>41</v>
      </c>
      <c r="H399" s="76">
        <v>46059</v>
      </c>
      <c r="I399" s="65">
        <v>0</v>
      </c>
      <c r="J399" s="82">
        <v>4000</v>
      </c>
      <c r="K399" s="70" t="s">
        <v>34</v>
      </c>
      <c r="L399" s="65">
        <v>0</v>
      </c>
      <c r="M399" s="82" t="s">
        <v>35</v>
      </c>
      <c r="N399" s="37">
        <f ca="1" t="shared" si="26"/>
        <v>6.43333333333333</v>
      </c>
      <c r="O399" s="57" t="s">
        <v>52</v>
      </c>
      <c r="P399" s="65">
        <v>4000</v>
      </c>
      <c r="Q399" s="66" t="s">
        <v>53</v>
      </c>
      <c r="R399" s="82" t="s">
        <v>603</v>
      </c>
      <c r="S399" s="58" t="s">
        <v>103</v>
      </c>
      <c r="T399" s="5"/>
    </row>
    <row r="400" ht="43.2" spans="1:20">
      <c r="A400" s="65">
        <v>364</v>
      </c>
      <c r="B400" s="79" t="s">
        <v>28</v>
      </c>
      <c r="C400" s="105" t="s">
        <v>456</v>
      </c>
      <c r="D400" s="82" t="s">
        <v>413</v>
      </c>
      <c r="E400" s="171" t="s">
        <v>41</v>
      </c>
      <c r="F400" s="171" t="s">
        <v>41</v>
      </c>
      <c r="G400" s="172" t="s">
        <v>41</v>
      </c>
      <c r="H400" s="76">
        <v>46059</v>
      </c>
      <c r="I400" s="65">
        <v>0</v>
      </c>
      <c r="J400" s="82">
        <v>9560</v>
      </c>
      <c r="K400" s="70" t="s">
        <v>34</v>
      </c>
      <c r="L400" s="65">
        <v>0</v>
      </c>
      <c r="M400" s="82" t="s">
        <v>35</v>
      </c>
      <c r="N400" s="37">
        <f ca="1" t="shared" si="26"/>
        <v>6.43333333333333</v>
      </c>
      <c r="O400" s="57" t="s">
        <v>52</v>
      </c>
      <c r="P400" s="65">
        <v>9560</v>
      </c>
      <c r="Q400" s="66" t="s">
        <v>53</v>
      </c>
      <c r="R400" s="82" t="s">
        <v>603</v>
      </c>
      <c r="S400" s="58" t="s">
        <v>103</v>
      </c>
      <c r="T400" s="5"/>
    </row>
    <row r="401" ht="43.2" spans="1:20">
      <c r="A401" s="65">
        <v>444</v>
      </c>
      <c r="B401" s="79" t="s">
        <v>28</v>
      </c>
      <c r="C401" s="79" t="s">
        <v>93</v>
      </c>
      <c r="D401" s="82" t="s">
        <v>413</v>
      </c>
      <c r="E401" s="67" t="s">
        <v>31</v>
      </c>
      <c r="F401" s="57" t="s">
        <v>568</v>
      </c>
      <c r="G401" s="114" t="s">
        <v>585</v>
      </c>
      <c r="H401" s="76">
        <v>46059</v>
      </c>
      <c r="I401" s="65">
        <v>0</v>
      </c>
      <c r="J401" s="82">
        <v>5170</v>
      </c>
      <c r="K401" s="70" t="s">
        <v>34</v>
      </c>
      <c r="L401" s="65">
        <v>0</v>
      </c>
      <c r="M401" s="82" t="s">
        <v>42</v>
      </c>
      <c r="N401" s="37">
        <f ca="1" t="shared" si="26"/>
        <v>6.43333333333333</v>
      </c>
      <c r="O401" s="70" t="s">
        <v>152</v>
      </c>
      <c r="P401" s="65">
        <v>5170</v>
      </c>
      <c r="Q401" s="66" t="s">
        <v>53</v>
      </c>
      <c r="R401" s="82" t="s">
        <v>604</v>
      </c>
      <c r="S401" s="58" t="s">
        <v>103</v>
      </c>
      <c r="T401" s="5"/>
    </row>
    <row r="402" ht="43.2" spans="1:20">
      <c r="A402" s="65">
        <v>284</v>
      </c>
      <c r="B402" s="79" t="s">
        <v>28</v>
      </c>
      <c r="C402" s="79" t="s">
        <v>605</v>
      </c>
      <c r="D402" s="82" t="s">
        <v>413</v>
      </c>
      <c r="E402" s="171" t="s">
        <v>41</v>
      </c>
      <c r="F402" s="176" t="s">
        <v>41</v>
      </c>
      <c r="G402" s="172" t="s">
        <v>41</v>
      </c>
      <c r="H402" s="76">
        <v>46059</v>
      </c>
      <c r="I402" s="65">
        <v>0</v>
      </c>
      <c r="J402" s="65">
        <v>436480</v>
      </c>
      <c r="K402" s="70" t="s">
        <v>34</v>
      </c>
      <c r="L402" s="65">
        <v>0</v>
      </c>
      <c r="M402" s="82" t="s">
        <v>35</v>
      </c>
      <c r="N402" s="37">
        <f ca="1" t="shared" si="26"/>
        <v>6.43333333333333</v>
      </c>
      <c r="O402" s="71">
        <v>46235</v>
      </c>
      <c r="P402" s="65">
        <v>436480</v>
      </c>
      <c r="Q402" s="66" t="s">
        <v>606</v>
      </c>
      <c r="R402" s="82" t="s">
        <v>607</v>
      </c>
      <c r="S402" s="58" t="s">
        <v>103</v>
      </c>
      <c r="T402" s="5"/>
    </row>
    <row r="403" ht="43.2" spans="1:20">
      <c r="A403" s="65">
        <v>365</v>
      </c>
      <c r="B403" s="79" t="s">
        <v>28</v>
      </c>
      <c r="C403" s="105" t="s">
        <v>456</v>
      </c>
      <c r="D403" s="82" t="s">
        <v>413</v>
      </c>
      <c r="E403" s="171" t="s">
        <v>41</v>
      </c>
      <c r="F403" s="171" t="s">
        <v>41</v>
      </c>
      <c r="G403" s="172" t="s">
        <v>41</v>
      </c>
      <c r="H403" s="76">
        <v>46065</v>
      </c>
      <c r="I403" s="65">
        <v>0</v>
      </c>
      <c r="J403" s="82">
        <v>14400</v>
      </c>
      <c r="K403" s="70" t="s">
        <v>34</v>
      </c>
      <c r="L403" s="65">
        <v>0</v>
      </c>
      <c r="M403" s="82" t="s">
        <v>58</v>
      </c>
      <c r="N403" s="37">
        <f ca="1" t="shared" si="26"/>
        <v>6.23333333333333</v>
      </c>
      <c r="O403" s="57" t="s">
        <v>52</v>
      </c>
      <c r="P403" s="65">
        <v>14400</v>
      </c>
      <c r="Q403" s="66" t="s">
        <v>53</v>
      </c>
      <c r="R403" s="82" t="s">
        <v>608</v>
      </c>
      <c r="S403" s="58" t="s">
        <v>103</v>
      </c>
      <c r="T403" s="5"/>
    </row>
    <row r="404" ht="43.2" spans="1:20">
      <c r="A404" s="65">
        <v>366</v>
      </c>
      <c r="B404" s="79" t="s">
        <v>28</v>
      </c>
      <c r="C404" s="105" t="s">
        <v>456</v>
      </c>
      <c r="D404" s="82" t="s">
        <v>413</v>
      </c>
      <c r="E404" s="171" t="s">
        <v>41</v>
      </c>
      <c r="F404" s="171" t="s">
        <v>41</v>
      </c>
      <c r="G404" s="172" t="s">
        <v>41</v>
      </c>
      <c r="H404" s="76">
        <v>46065</v>
      </c>
      <c r="I404" s="65">
        <v>0</v>
      </c>
      <c r="J404" s="82">
        <v>5200</v>
      </c>
      <c r="K404" s="70" t="s">
        <v>34</v>
      </c>
      <c r="L404" s="65">
        <v>0</v>
      </c>
      <c r="M404" s="82" t="s">
        <v>58</v>
      </c>
      <c r="N404" s="37">
        <f ca="1" t="shared" si="26"/>
        <v>6.23333333333333</v>
      </c>
      <c r="O404" s="57" t="s">
        <v>52</v>
      </c>
      <c r="P404" s="65">
        <v>5200</v>
      </c>
      <c r="Q404" s="66" t="s">
        <v>53</v>
      </c>
      <c r="R404" s="82" t="s">
        <v>608</v>
      </c>
      <c r="S404" s="58" t="s">
        <v>103</v>
      </c>
      <c r="T404" s="5"/>
    </row>
    <row r="405" ht="43.2" spans="1:20">
      <c r="A405" s="65">
        <v>506</v>
      </c>
      <c r="B405" s="79" t="s">
        <v>28</v>
      </c>
      <c r="C405" s="79" t="s">
        <v>49</v>
      </c>
      <c r="D405" s="82" t="s">
        <v>57</v>
      </c>
      <c r="E405" s="67" t="s">
        <v>31</v>
      </c>
      <c r="F405" s="110" t="s">
        <v>609</v>
      </c>
      <c r="G405" s="83" t="s">
        <v>610</v>
      </c>
      <c r="H405" s="76">
        <v>46065</v>
      </c>
      <c r="I405" s="65">
        <v>0</v>
      </c>
      <c r="J405" s="82">
        <v>11395.5</v>
      </c>
      <c r="K405" s="70" t="s">
        <v>34</v>
      </c>
      <c r="L405" s="65">
        <v>0</v>
      </c>
      <c r="M405" s="82" t="s">
        <v>42</v>
      </c>
      <c r="N405" s="37">
        <f ca="1" t="shared" si="26"/>
        <v>6.23333333333333</v>
      </c>
      <c r="O405" s="57" t="s">
        <v>52</v>
      </c>
      <c r="P405" s="65">
        <v>11395.5</v>
      </c>
      <c r="Q405" s="66" t="s">
        <v>201</v>
      </c>
      <c r="R405" s="82" t="s">
        <v>611</v>
      </c>
      <c r="S405" s="5"/>
    </row>
    <row r="406" ht="43.2" spans="1:20">
      <c r="A406" s="65">
        <v>281</v>
      </c>
      <c r="B406" s="79" t="s">
        <v>28</v>
      </c>
      <c r="C406" s="79" t="s">
        <v>93</v>
      </c>
      <c r="D406" s="82" t="s">
        <v>57</v>
      </c>
      <c r="E406" s="171" t="s">
        <v>31</v>
      </c>
      <c r="F406" s="57" t="s">
        <v>568</v>
      </c>
      <c r="G406" s="114" t="s">
        <v>585</v>
      </c>
      <c r="H406" s="76">
        <v>46065</v>
      </c>
      <c r="I406" s="65">
        <v>0</v>
      </c>
      <c r="J406" s="82">
        <v>5342.4</v>
      </c>
      <c r="K406" s="70" t="s">
        <v>34</v>
      </c>
      <c r="L406" s="65">
        <v>0</v>
      </c>
      <c r="M406" s="82" t="s">
        <v>47</v>
      </c>
      <c r="N406" s="37">
        <f ca="1" t="shared" si="26"/>
        <v>6.23333333333333</v>
      </c>
      <c r="O406" s="70" t="s">
        <v>152</v>
      </c>
      <c r="P406" s="65">
        <f>J406</f>
        <v>5342.4</v>
      </c>
      <c r="Q406" s="66" t="s">
        <v>53</v>
      </c>
      <c r="R406" s="82" t="s">
        <v>612</v>
      </c>
      <c r="S406" s="58" t="s">
        <v>103</v>
      </c>
      <c r="T406" s="5"/>
    </row>
    <row r="407" ht="43.2" spans="1:20">
      <c r="A407" s="65">
        <v>439</v>
      </c>
      <c r="B407" s="79" t="s">
        <v>28</v>
      </c>
      <c r="C407" s="79" t="s">
        <v>93</v>
      </c>
      <c r="D407" s="82" t="s">
        <v>413</v>
      </c>
      <c r="E407" s="67" t="s">
        <v>31</v>
      </c>
      <c r="F407" s="57" t="s">
        <v>568</v>
      </c>
      <c r="G407" s="114" t="s">
        <v>585</v>
      </c>
      <c r="H407" s="76">
        <v>46065</v>
      </c>
      <c r="I407" s="65">
        <v>0</v>
      </c>
      <c r="J407" s="82">
        <v>50572</v>
      </c>
      <c r="K407" s="70" t="s">
        <v>34</v>
      </c>
      <c r="L407" s="65">
        <v>0</v>
      </c>
      <c r="M407" s="82" t="s">
        <v>42</v>
      </c>
      <c r="N407" s="37">
        <f ca="1" t="shared" si="26"/>
        <v>6.23333333333333</v>
      </c>
      <c r="O407" s="70" t="s">
        <v>152</v>
      </c>
      <c r="P407" s="65">
        <v>50572</v>
      </c>
      <c r="Q407" s="66" t="s">
        <v>53</v>
      </c>
      <c r="R407" s="82" t="s">
        <v>613</v>
      </c>
      <c r="S407" s="58" t="s">
        <v>103</v>
      </c>
      <c r="T407" s="5"/>
    </row>
    <row r="408" ht="43.2" spans="1:20">
      <c r="A408" s="65">
        <v>442</v>
      </c>
      <c r="B408" s="79" t="s">
        <v>28</v>
      </c>
      <c r="C408" s="79" t="s">
        <v>93</v>
      </c>
      <c r="D408" s="82" t="s">
        <v>413</v>
      </c>
      <c r="E408" s="67" t="s">
        <v>31</v>
      </c>
      <c r="F408" s="57" t="s">
        <v>568</v>
      </c>
      <c r="G408" s="114" t="s">
        <v>585</v>
      </c>
      <c r="H408" s="76">
        <v>46065</v>
      </c>
      <c r="I408" s="65">
        <v>0</v>
      </c>
      <c r="J408" s="82">
        <v>48927</v>
      </c>
      <c r="K408" s="70" t="s">
        <v>34</v>
      </c>
      <c r="L408" s="65">
        <v>0</v>
      </c>
      <c r="M408" s="82" t="s">
        <v>58</v>
      </c>
      <c r="N408" s="37">
        <f ca="1" t="shared" si="26"/>
        <v>6.23333333333333</v>
      </c>
      <c r="O408" s="70" t="s">
        <v>152</v>
      </c>
      <c r="P408" s="65">
        <v>48927</v>
      </c>
      <c r="Q408" s="66" t="s">
        <v>53</v>
      </c>
      <c r="R408" s="82" t="s">
        <v>614</v>
      </c>
      <c r="S408" s="58" t="s">
        <v>103</v>
      </c>
      <c r="T408" s="5"/>
    </row>
    <row r="409" ht="43.2" spans="1:20">
      <c r="A409" s="65">
        <v>445</v>
      </c>
      <c r="B409" s="79" t="s">
        <v>28</v>
      </c>
      <c r="C409" s="79" t="s">
        <v>93</v>
      </c>
      <c r="D409" s="82" t="s">
        <v>413</v>
      </c>
      <c r="E409" s="67" t="s">
        <v>31</v>
      </c>
      <c r="F409" s="57" t="s">
        <v>568</v>
      </c>
      <c r="G409" s="114" t="s">
        <v>585</v>
      </c>
      <c r="H409" s="76">
        <v>46065</v>
      </c>
      <c r="I409" s="65">
        <v>0</v>
      </c>
      <c r="J409" s="82">
        <v>2632</v>
      </c>
      <c r="K409" s="70" t="s">
        <v>34</v>
      </c>
      <c r="L409" s="65">
        <v>0</v>
      </c>
      <c r="M409" s="82" t="s">
        <v>42</v>
      </c>
      <c r="N409" s="37">
        <f ca="1" t="shared" si="26"/>
        <v>6.23333333333333</v>
      </c>
      <c r="O409" s="70" t="s">
        <v>152</v>
      </c>
      <c r="P409" s="65">
        <v>2632</v>
      </c>
      <c r="Q409" s="66" t="s">
        <v>53</v>
      </c>
      <c r="R409" s="82" t="s">
        <v>615</v>
      </c>
      <c r="S409" s="58" t="s">
        <v>103</v>
      </c>
      <c r="T409" s="5"/>
    </row>
    <row r="410" ht="43.2" spans="1:20">
      <c r="A410" s="65">
        <v>446</v>
      </c>
      <c r="B410" s="79" t="s">
        <v>28</v>
      </c>
      <c r="C410" s="79" t="s">
        <v>93</v>
      </c>
      <c r="D410" s="82" t="s">
        <v>413</v>
      </c>
      <c r="E410" s="67" t="s">
        <v>31</v>
      </c>
      <c r="F410" s="57" t="s">
        <v>568</v>
      </c>
      <c r="G410" s="114" t="s">
        <v>585</v>
      </c>
      <c r="H410" s="76">
        <v>46065</v>
      </c>
      <c r="I410" s="65">
        <v>0</v>
      </c>
      <c r="J410" s="82">
        <v>1692</v>
      </c>
      <c r="K410" s="70" t="s">
        <v>34</v>
      </c>
      <c r="L410" s="65">
        <v>0</v>
      </c>
      <c r="M410" s="82" t="s">
        <v>42</v>
      </c>
      <c r="N410" s="37">
        <f ca="1" t="shared" si="26"/>
        <v>6.23333333333333</v>
      </c>
      <c r="O410" s="70" t="s">
        <v>152</v>
      </c>
      <c r="P410" s="65">
        <v>1692</v>
      </c>
      <c r="Q410" s="66" t="s">
        <v>53</v>
      </c>
      <c r="R410" s="82" t="s">
        <v>616</v>
      </c>
      <c r="S410" s="58" t="s">
        <v>103</v>
      </c>
      <c r="T410" s="5"/>
    </row>
    <row r="411" ht="43.2" spans="1:20">
      <c r="A411" s="65">
        <v>448</v>
      </c>
      <c r="B411" s="79" t="s">
        <v>28</v>
      </c>
      <c r="C411" s="79" t="s">
        <v>93</v>
      </c>
      <c r="D411" s="82" t="s">
        <v>413</v>
      </c>
      <c r="E411" s="67" t="s">
        <v>31</v>
      </c>
      <c r="F411" s="57" t="s">
        <v>568</v>
      </c>
      <c r="G411" s="114" t="s">
        <v>585</v>
      </c>
      <c r="H411" s="76">
        <v>46065</v>
      </c>
      <c r="I411" s="65">
        <v>0</v>
      </c>
      <c r="J411" s="82">
        <v>20210</v>
      </c>
      <c r="K411" s="70" t="s">
        <v>34</v>
      </c>
      <c r="L411" s="65">
        <v>0</v>
      </c>
      <c r="M411" s="82" t="s">
        <v>42</v>
      </c>
      <c r="N411" s="37">
        <f ca="1" t="shared" si="26"/>
        <v>6.23333333333333</v>
      </c>
      <c r="O411" s="70" t="s">
        <v>152</v>
      </c>
      <c r="P411" s="65">
        <v>20210</v>
      </c>
      <c r="Q411" s="66" t="s">
        <v>53</v>
      </c>
      <c r="R411" s="82" t="s">
        <v>617</v>
      </c>
      <c r="S411" s="58" t="s">
        <v>103</v>
      </c>
      <c r="T411" s="5"/>
    </row>
    <row r="412" ht="43.2" spans="1:20">
      <c r="A412" s="65">
        <v>449</v>
      </c>
      <c r="B412" s="79" t="s">
        <v>28</v>
      </c>
      <c r="C412" s="79" t="s">
        <v>93</v>
      </c>
      <c r="D412" s="82" t="s">
        <v>413</v>
      </c>
      <c r="E412" s="67" t="s">
        <v>31</v>
      </c>
      <c r="F412" s="57" t="s">
        <v>568</v>
      </c>
      <c r="G412" s="114" t="s">
        <v>585</v>
      </c>
      <c r="H412" s="76">
        <v>46065</v>
      </c>
      <c r="I412" s="65">
        <v>0</v>
      </c>
      <c r="J412" s="82">
        <v>5358</v>
      </c>
      <c r="K412" s="70" t="s">
        <v>34</v>
      </c>
      <c r="L412" s="65">
        <v>0</v>
      </c>
      <c r="M412" s="82" t="s">
        <v>42</v>
      </c>
      <c r="N412" s="37">
        <f ca="1" t="shared" si="26"/>
        <v>6.23333333333333</v>
      </c>
      <c r="O412" s="70" t="s">
        <v>152</v>
      </c>
      <c r="P412" s="65">
        <v>5358</v>
      </c>
      <c r="Q412" s="66" t="s">
        <v>53</v>
      </c>
      <c r="R412" s="82" t="s">
        <v>618</v>
      </c>
      <c r="S412" s="58" t="s">
        <v>103</v>
      </c>
      <c r="T412" s="5"/>
    </row>
    <row r="413" ht="43.2" spans="1:20">
      <c r="A413" s="65">
        <v>451</v>
      </c>
      <c r="B413" s="79" t="s">
        <v>28</v>
      </c>
      <c r="C413" s="79" t="s">
        <v>93</v>
      </c>
      <c r="D413" s="82" t="s">
        <v>413</v>
      </c>
      <c r="E413" s="67" t="s">
        <v>31</v>
      </c>
      <c r="F413" s="57" t="s">
        <v>568</v>
      </c>
      <c r="G413" s="114" t="s">
        <v>585</v>
      </c>
      <c r="H413" s="76">
        <v>46079</v>
      </c>
      <c r="I413" s="65">
        <v>0</v>
      </c>
      <c r="J413" s="82">
        <v>5311</v>
      </c>
      <c r="K413" s="70" t="s">
        <v>34</v>
      </c>
      <c r="L413" s="65">
        <v>0</v>
      </c>
      <c r="M413" s="82" t="s">
        <v>47</v>
      </c>
      <c r="N413" s="37">
        <f ca="1" t="shared" si="26"/>
        <v>5.76666666666667</v>
      </c>
      <c r="O413" s="70" t="s">
        <v>152</v>
      </c>
      <c r="P413" s="65">
        <v>5311</v>
      </c>
      <c r="Q413" s="66" t="s">
        <v>53</v>
      </c>
      <c r="R413" s="82" t="s">
        <v>619</v>
      </c>
      <c r="S413" s="58" t="s">
        <v>103</v>
      </c>
      <c r="T413" s="5"/>
    </row>
    <row r="414" ht="43.2" spans="1:20">
      <c r="A414" s="65">
        <v>452</v>
      </c>
      <c r="B414" s="79" t="s">
        <v>28</v>
      </c>
      <c r="C414" s="79" t="s">
        <v>93</v>
      </c>
      <c r="D414" s="82" t="s">
        <v>413</v>
      </c>
      <c r="E414" s="67" t="s">
        <v>31</v>
      </c>
      <c r="F414" s="57" t="s">
        <v>568</v>
      </c>
      <c r="G414" s="114" t="s">
        <v>585</v>
      </c>
      <c r="H414" s="76">
        <v>46079</v>
      </c>
      <c r="I414" s="65">
        <v>0</v>
      </c>
      <c r="J414" s="82">
        <v>2284</v>
      </c>
      <c r="K414" s="70" t="s">
        <v>34</v>
      </c>
      <c r="L414" s="65">
        <v>0</v>
      </c>
      <c r="M414" s="82" t="s">
        <v>35</v>
      </c>
      <c r="N414" s="37">
        <f ca="1" t="shared" si="26"/>
        <v>5.76666666666667</v>
      </c>
      <c r="O414" s="70" t="s">
        <v>152</v>
      </c>
      <c r="P414" s="65">
        <v>2284</v>
      </c>
      <c r="Q414" s="66" t="s">
        <v>53</v>
      </c>
      <c r="R414" s="82" t="s">
        <v>620</v>
      </c>
      <c r="S414" s="58" t="s">
        <v>103</v>
      </c>
      <c r="T414" s="5"/>
    </row>
    <row r="415" ht="43.2" spans="1:20">
      <c r="A415" s="65">
        <v>475</v>
      </c>
      <c r="B415" s="79" t="s">
        <v>28</v>
      </c>
      <c r="C415" s="79" t="s">
        <v>93</v>
      </c>
      <c r="D415" s="82" t="s">
        <v>413</v>
      </c>
      <c r="E415" s="67" t="s">
        <v>31</v>
      </c>
      <c r="F415" s="57" t="s">
        <v>568</v>
      </c>
      <c r="G415" s="114" t="s">
        <v>585</v>
      </c>
      <c r="H415" s="76">
        <v>46079</v>
      </c>
      <c r="I415" s="65">
        <v>0</v>
      </c>
      <c r="J415" s="82">
        <v>13630</v>
      </c>
      <c r="K415" s="70" t="s">
        <v>34</v>
      </c>
      <c r="L415" s="65">
        <v>0</v>
      </c>
      <c r="M415" s="82" t="s">
        <v>79</v>
      </c>
      <c r="N415" s="37">
        <f ca="1" t="shared" si="26"/>
        <v>5.76666666666667</v>
      </c>
      <c r="O415" s="70" t="s">
        <v>152</v>
      </c>
      <c r="P415" s="65">
        <v>13630</v>
      </c>
      <c r="Q415" s="66" t="s">
        <v>53</v>
      </c>
      <c r="R415" s="82" t="s">
        <v>621</v>
      </c>
      <c r="S415" s="58" t="s">
        <v>103</v>
      </c>
      <c r="T415" s="5"/>
    </row>
    <row r="416" ht="43.2" spans="1:20">
      <c r="A416" s="65">
        <v>456</v>
      </c>
      <c r="B416" s="79" t="s">
        <v>28</v>
      </c>
      <c r="C416" s="79" t="s">
        <v>93</v>
      </c>
      <c r="D416" s="82" t="s">
        <v>413</v>
      </c>
      <c r="E416" s="67" t="s">
        <v>31</v>
      </c>
      <c r="F416" s="57" t="s">
        <v>568</v>
      </c>
      <c r="G416" s="114" t="s">
        <v>585</v>
      </c>
      <c r="H416" s="76">
        <v>46080</v>
      </c>
      <c r="I416" s="65">
        <v>0</v>
      </c>
      <c r="J416" s="82">
        <v>6439</v>
      </c>
      <c r="K416" s="70" t="s">
        <v>34</v>
      </c>
      <c r="L416" s="65">
        <v>0</v>
      </c>
      <c r="M416" s="82" t="s">
        <v>35</v>
      </c>
      <c r="N416" s="37">
        <f ca="1" t="shared" si="26"/>
        <v>5.73333333333333</v>
      </c>
      <c r="O416" s="70" t="s">
        <v>152</v>
      </c>
      <c r="P416" s="65">
        <v>6439</v>
      </c>
      <c r="Q416" s="66" t="s">
        <v>53</v>
      </c>
      <c r="R416" s="82" t="s">
        <v>622</v>
      </c>
      <c r="S416" s="58" t="s">
        <v>103</v>
      </c>
      <c r="T416" s="5"/>
    </row>
    <row r="417" ht="43.2" spans="1:20">
      <c r="A417" s="65">
        <v>368</v>
      </c>
      <c r="B417" s="79" t="s">
        <v>28</v>
      </c>
      <c r="C417" s="105" t="s">
        <v>456</v>
      </c>
      <c r="D417" s="82" t="s">
        <v>413</v>
      </c>
      <c r="E417" s="171" t="s">
        <v>41</v>
      </c>
      <c r="F417" s="171" t="s">
        <v>41</v>
      </c>
      <c r="G417" s="172" t="s">
        <v>41</v>
      </c>
      <c r="H417" s="76">
        <v>46081</v>
      </c>
      <c r="I417" s="65">
        <v>0</v>
      </c>
      <c r="J417" s="82">
        <v>27600</v>
      </c>
      <c r="K417" s="70" t="s">
        <v>34</v>
      </c>
      <c r="L417" s="65">
        <v>0</v>
      </c>
      <c r="M417" s="82" t="s">
        <v>42</v>
      </c>
      <c r="N417" s="37">
        <f ca="1" t="shared" si="26"/>
        <v>5.7</v>
      </c>
      <c r="O417" s="57" t="s">
        <v>52</v>
      </c>
      <c r="P417" s="65">
        <v>27600</v>
      </c>
      <c r="Q417" s="66" t="s">
        <v>53</v>
      </c>
      <c r="R417" s="82" t="s">
        <v>623</v>
      </c>
      <c r="S417" s="58" t="s">
        <v>103</v>
      </c>
      <c r="T417" s="5"/>
    </row>
    <row r="418" ht="43.2" spans="1:20">
      <c r="A418" s="65">
        <v>469</v>
      </c>
      <c r="B418" s="79" t="s">
        <v>28</v>
      </c>
      <c r="C418" s="79" t="s">
        <v>93</v>
      </c>
      <c r="D418" s="82" t="s">
        <v>413</v>
      </c>
      <c r="E418" s="67" t="s">
        <v>31</v>
      </c>
      <c r="F418" s="57" t="s">
        <v>568</v>
      </c>
      <c r="G418" s="114" t="s">
        <v>585</v>
      </c>
      <c r="H418" s="76">
        <v>46081</v>
      </c>
      <c r="I418" s="65">
        <v>0</v>
      </c>
      <c r="J418" s="82">
        <v>11045</v>
      </c>
      <c r="K418" s="70" t="s">
        <v>34</v>
      </c>
      <c r="L418" s="65">
        <v>0</v>
      </c>
      <c r="M418" s="82" t="s">
        <v>47</v>
      </c>
      <c r="N418" s="37">
        <f ca="1" t="shared" si="26"/>
        <v>5.7</v>
      </c>
      <c r="O418" s="70" t="s">
        <v>152</v>
      </c>
      <c r="P418" s="65">
        <v>11045</v>
      </c>
      <c r="Q418" s="66" t="s">
        <v>53</v>
      </c>
      <c r="R418" s="82" t="s">
        <v>624</v>
      </c>
      <c r="S418" s="58" t="s">
        <v>103</v>
      </c>
      <c r="T418" s="5"/>
    </row>
    <row r="419" ht="43.2" spans="1:20">
      <c r="A419" s="65">
        <v>470</v>
      </c>
      <c r="B419" s="79" t="s">
        <v>28</v>
      </c>
      <c r="C419" s="79" t="s">
        <v>93</v>
      </c>
      <c r="D419" s="82" t="s">
        <v>413</v>
      </c>
      <c r="E419" s="67" t="s">
        <v>31</v>
      </c>
      <c r="F419" s="57" t="s">
        <v>568</v>
      </c>
      <c r="G419" s="114" t="s">
        <v>585</v>
      </c>
      <c r="H419" s="76">
        <v>46081</v>
      </c>
      <c r="I419" s="65">
        <v>0</v>
      </c>
      <c r="J419" s="82">
        <v>6956</v>
      </c>
      <c r="K419" s="70" t="s">
        <v>34</v>
      </c>
      <c r="L419" s="65">
        <v>0</v>
      </c>
      <c r="M419" s="82" t="s">
        <v>47</v>
      </c>
      <c r="N419" s="37">
        <f ca="1" t="shared" si="26"/>
        <v>5.7</v>
      </c>
      <c r="O419" s="70" t="s">
        <v>152</v>
      </c>
      <c r="P419" s="65">
        <v>6956</v>
      </c>
      <c r="Q419" s="66" t="s">
        <v>53</v>
      </c>
      <c r="R419" s="82" t="s">
        <v>624</v>
      </c>
      <c r="S419" s="58" t="s">
        <v>103</v>
      </c>
      <c r="T419" s="5"/>
    </row>
    <row r="420" ht="43.2" spans="1:20">
      <c r="A420" s="41">
        <v>305</v>
      </c>
      <c r="B420" s="42" t="s">
        <v>28</v>
      </c>
      <c r="C420" s="42" t="s">
        <v>625</v>
      </c>
      <c r="D420" s="41" t="s">
        <v>413</v>
      </c>
      <c r="E420" s="165" t="s">
        <v>41</v>
      </c>
      <c r="F420" s="165" t="s">
        <v>41</v>
      </c>
      <c r="G420" s="166" t="s">
        <v>41</v>
      </c>
      <c r="H420" s="75">
        <v>46081</v>
      </c>
      <c r="I420" s="41">
        <v>0</v>
      </c>
      <c r="J420" s="41">
        <v>4400</v>
      </c>
      <c r="K420" s="43" t="s">
        <v>34</v>
      </c>
      <c r="L420" s="41">
        <v>0</v>
      </c>
      <c r="M420" s="41" t="s">
        <v>47</v>
      </c>
      <c r="N420" s="37">
        <f ca="1" t="shared" si="26"/>
        <v>5.7</v>
      </c>
      <c r="O420" s="47">
        <v>46266</v>
      </c>
      <c r="P420" s="41">
        <f>J420</f>
        <v>4400</v>
      </c>
      <c r="Q420" s="63" t="s">
        <v>185</v>
      </c>
      <c r="R420" s="41" t="s">
        <v>626</v>
      </c>
      <c r="S420" s="48" t="s">
        <v>45</v>
      </c>
      <c r="T420" s="50"/>
    </row>
    <row r="421" ht="43.2" spans="1:20">
      <c r="A421" s="41">
        <v>306</v>
      </c>
      <c r="B421" s="42" t="s">
        <v>28</v>
      </c>
      <c r="C421" s="42" t="s">
        <v>625</v>
      </c>
      <c r="D421" s="41" t="s">
        <v>413</v>
      </c>
      <c r="E421" s="165" t="s">
        <v>41</v>
      </c>
      <c r="F421" s="165" t="s">
        <v>41</v>
      </c>
      <c r="G421" s="166" t="s">
        <v>41</v>
      </c>
      <c r="H421" s="75">
        <v>46081</v>
      </c>
      <c r="I421" s="41">
        <v>0</v>
      </c>
      <c r="J421" s="41">
        <v>4400</v>
      </c>
      <c r="K421" s="43" t="s">
        <v>34</v>
      </c>
      <c r="L421" s="41">
        <v>0</v>
      </c>
      <c r="M421" s="41" t="s">
        <v>47</v>
      </c>
      <c r="N421" s="37">
        <f ca="1" t="shared" si="26"/>
        <v>5.7</v>
      </c>
      <c r="O421" s="47">
        <v>46266</v>
      </c>
      <c r="P421" s="41">
        <f>J421</f>
        <v>4400</v>
      </c>
      <c r="Q421" s="63" t="s">
        <v>185</v>
      </c>
      <c r="R421" s="41" t="s">
        <v>627</v>
      </c>
      <c r="S421" s="48" t="s">
        <v>45</v>
      </c>
      <c r="T421" s="50"/>
    </row>
    <row r="422" ht="43.2" spans="1:20">
      <c r="A422" s="65">
        <v>507</v>
      </c>
      <c r="B422" s="79" t="s">
        <v>28</v>
      </c>
      <c r="C422" s="79" t="s">
        <v>49</v>
      </c>
      <c r="D422" s="82" t="s">
        <v>57</v>
      </c>
      <c r="E422" s="67" t="s">
        <v>31</v>
      </c>
      <c r="F422" s="110" t="s">
        <v>628</v>
      </c>
      <c r="G422" s="83" t="s">
        <v>305</v>
      </c>
      <c r="H422" s="76">
        <v>46083</v>
      </c>
      <c r="I422" s="65">
        <v>0</v>
      </c>
      <c r="J422" s="82">
        <v>12000</v>
      </c>
      <c r="K422" s="70" t="s">
        <v>34</v>
      </c>
      <c r="L422" s="65">
        <v>0</v>
      </c>
      <c r="M422" s="82" t="s">
        <v>35</v>
      </c>
      <c r="N422" s="37">
        <f ca="1" t="shared" si="26"/>
        <v>5.63333333333333</v>
      </c>
      <c r="O422" s="57" t="s">
        <v>52</v>
      </c>
      <c r="P422" s="65">
        <v>12000</v>
      </c>
      <c r="Q422" s="66" t="s">
        <v>201</v>
      </c>
      <c r="R422" s="82" t="s">
        <v>629</v>
      </c>
      <c r="S422" s="5"/>
    </row>
    <row r="423" ht="43.2" spans="1:20">
      <c r="A423" s="65">
        <v>508</v>
      </c>
      <c r="B423" s="79" t="s">
        <v>28</v>
      </c>
      <c r="C423" s="79" t="s">
        <v>49</v>
      </c>
      <c r="D423" s="82" t="s">
        <v>630</v>
      </c>
      <c r="E423" s="67" t="s">
        <v>31</v>
      </c>
      <c r="F423" s="110" t="s">
        <v>609</v>
      </c>
      <c r="G423" s="83" t="s">
        <v>610</v>
      </c>
      <c r="H423" s="76">
        <v>46083</v>
      </c>
      <c r="I423" s="65">
        <v>0</v>
      </c>
      <c r="J423" s="82">
        <v>5000</v>
      </c>
      <c r="K423" s="70" t="s">
        <v>34</v>
      </c>
      <c r="L423" s="65">
        <v>0</v>
      </c>
      <c r="M423" s="82" t="s">
        <v>42</v>
      </c>
      <c r="N423" s="37">
        <f ca="1" t="shared" si="26"/>
        <v>5.63333333333333</v>
      </c>
      <c r="O423" s="57" t="s">
        <v>52</v>
      </c>
      <c r="P423" s="65">
        <v>5000</v>
      </c>
      <c r="Q423" s="66" t="s">
        <v>201</v>
      </c>
      <c r="R423" s="82" t="s">
        <v>631</v>
      </c>
      <c r="S423" s="5"/>
    </row>
    <row r="424" ht="43.2" spans="1:20">
      <c r="A424" s="65">
        <v>454</v>
      </c>
      <c r="B424" s="79" t="s">
        <v>28</v>
      </c>
      <c r="C424" s="79" t="s">
        <v>93</v>
      </c>
      <c r="D424" s="82" t="s">
        <v>413</v>
      </c>
      <c r="E424" s="67" t="s">
        <v>31</v>
      </c>
      <c r="F424" s="57" t="s">
        <v>568</v>
      </c>
      <c r="G424" s="114" t="s">
        <v>585</v>
      </c>
      <c r="H424" s="76">
        <v>46084</v>
      </c>
      <c r="I424" s="65">
        <v>0</v>
      </c>
      <c r="J424" s="82">
        <v>23030</v>
      </c>
      <c r="K424" s="70" t="s">
        <v>34</v>
      </c>
      <c r="L424" s="65">
        <v>0</v>
      </c>
      <c r="M424" s="82" t="s">
        <v>58</v>
      </c>
      <c r="N424" s="37">
        <f ca="1" t="shared" si="26"/>
        <v>5.6</v>
      </c>
      <c r="O424" s="70" t="s">
        <v>152</v>
      </c>
      <c r="P424" s="65">
        <v>23030</v>
      </c>
      <c r="Q424" s="66" t="s">
        <v>53</v>
      </c>
      <c r="R424" s="82" t="s">
        <v>632</v>
      </c>
      <c r="S424" s="58"/>
      <c r="T424" s="5"/>
    </row>
    <row r="425" ht="43.2" spans="1:20">
      <c r="A425" s="65">
        <v>471</v>
      </c>
      <c r="B425" s="79" t="s">
        <v>28</v>
      </c>
      <c r="C425" s="79" t="s">
        <v>93</v>
      </c>
      <c r="D425" s="82" t="s">
        <v>413</v>
      </c>
      <c r="E425" s="67" t="s">
        <v>31</v>
      </c>
      <c r="F425" s="57" t="s">
        <v>568</v>
      </c>
      <c r="G425" s="114" t="s">
        <v>585</v>
      </c>
      <c r="H425" s="76">
        <v>46084</v>
      </c>
      <c r="I425" s="65">
        <v>0</v>
      </c>
      <c r="J425" s="82">
        <v>14570</v>
      </c>
      <c r="K425" s="70" t="s">
        <v>34</v>
      </c>
      <c r="L425" s="65">
        <v>0</v>
      </c>
      <c r="M425" s="82" t="s">
        <v>58</v>
      </c>
      <c r="N425" s="37">
        <f ca="1" t="shared" si="26"/>
        <v>5.6</v>
      </c>
      <c r="O425" s="70" t="s">
        <v>152</v>
      </c>
      <c r="P425" s="65">
        <v>14570</v>
      </c>
      <c r="Q425" s="66" t="s">
        <v>53</v>
      </c>
      <c r="R425" s="82" t="s">
        <v>633</v>
      </c>
      <c r="S425" s="58"/>
      <c r="T425" s="5"/>
    </row>
    <row r="426" ht="43.2" spans="1:20">
      <c r="A426" s="65">
        <v>587</v>
      </c>
      <c r="B426" s="79" t="s">
        <v>28</v>
      </c>
      <c r="C426" s="79" t="s">
        <v>29</v>
      </c>
      <c r="D426" s="79" t="s">
        <v>142</v>
      </c>
      <c r="E426" s="67" t="s">
        <v>31</v>
      </c>
      <c r="F426" s="67" t="s">
        <v>236</v>
      </c>
      <c r="G426" s="80" t="s">
        <v>82</v>
      </c>
      <c r="H426" s="76">
        <v>46085</v>
      </c>
      <c r="I426" s="65"/>
      <c r="J426" s="82">
        <v>58212</v>
      </c>
      <c r="K426" s="70"/>
      <c r="L426" s="65"/>
      <c r="M426" s="84" t="s">
        <v>634</v>
      </c>
      <c r="N426" s="37">
        <f ca="1" t="shared" si="26"/>
        <v>5.56666666666667</v>
      </c>
      <c r="O426" s="70"/>
      <c r="P426" s="65">
        <v>58212</v>
      </c>
      <c r="Q426" s="66"/>
      <c r="R426" s="82" t="s">
        <v>635</v>
      </c>
      <c r="S426" s="5"/>
      <c r="T426" t="s">
        <v>86</v>
      </c>
    </row>
    <row r="427" ht="43.2" spans="1:20">
      <c r="A427" s="65">
        <v>373</v>
      </c>
      <c r="B427" s="79" t="s">
        <v>28</v>
      </c>
      <c r="C427" s="105" t="s">
        <v>456</v>
      </c>
      <c r="D427" s="82" t="s">
        <v>413</v>
      </c>
      <c r="E427" s="67"/>
      <c r="F427" s="67"/>
      <c r="G427" s="80"/>
      <c r="H427" s="76">
        <v>46086</v>
      </c>
      <c r="I427" s="65">
        <v>0</v>
      </c>
      <c r="J427" s="82">
        <v>77120</v>
      </c>
      <c r="K427" s="70" t="s">
        <v>34</v>
      </c>
      <c r="L427" s="65">
        <v>0</v>
      </c>
      <c r="M427" s="82" t="s">
        <v>35</v>
      </c>
      <c r="N427" s="37">
        <f ca="1" t="shared" si="26"/>
        <v>5.53333333333333</v>
      </c>
      <c r="O427" s="57" t="s">
        <v>52</v>
      </c>
      <c r="P427" s="65">
        <v>77120</v>
      </c>
      <c r="Q427" s="66" t="s">
        <v>53</v>
      </c>
      <c r="R427" s="82" t="s">
        <v>636</v>
      </c>
      <c r="S427" s="58" t="s">
        <v>103</v>
      </c>
      <c r="T427" s="5"/>
    </row>
    <row r="428" ht="43.2" spans="1:20">
      <c r="A428" s="65">
        <v>301</v>
      </c>
      <c r="B428" s="79" t="s">
        <v>28</v>
      </c>
      <c r="C428" s="79" t="s">
        <v>93</v>
      </c>
      <c r="D428" s="82" t="s">
        <v>413</v>
      </c>
      <c r="E428" s="67" t="s">
        <v>31</v>
      </c>
      <c r="F428" s="57" t="s">
        <v>568</v>
      </c>
      <c r="G428" s="114" t="s">
        <v>585</v>
      </c>
      <c r="H428" s="76">
        <v>46086</v>
      </c>
      <c r="I428" s="65">
        <v>0</v>
      </c>
      <c r="J428" s="82">
        <v>4371</v>
      </c>
      <c r="K428" s="70" t="s">
        <v>34</v>
      </c>
      <c r="L428" s="65">
        <v>0</v>
      </c>
      <c r="M428" s="82" t="s">
        <v>47</v>
      </c>
      <c r="N428" s="37">
        <f ca="1" t="shared" si="26"/>
        <v>5.53333333333333</v>
      </c>
      <c r="O428" s="70" t="s">
        <v>152</v>
      </c>
      <c r="P428" s="65">
        <f>J428</f>
        <v>4371</v>
      </c>
      <c r="Q428" s="66" t="s">
        <v>53</v>
      </c>
      <c r="R428" s="82" t="s">
        <v>637</v>
      </c>
      <c r="S428" s="58"/>
      <c r="T428" s="5"/>
    </row>
    <row r="429" ht="43.2" spans="1:20">
      <c r="A429" s="65">
        <v>453</v>
      </c>
      <c r="B429" s="79" t="s">
        <v>28</v>
      </c>
      <c r="C429" s="79" t="s">
        <v>93</v>
      </c>
      <c r="D429" s="82" t="s">
        <v>413</v>
      </c>
      <c r="E429" s="67" t="s">
        <v>31</v>
      </c>
      <c r="F429" s="57" t="s">
        <v>568</v>
      </c>
      <c r="G429" s="114" t="s">
        <v>585</v>
      </c>
      <c r="H429" s="76">
        <v>46086</v>
      </c>
      <c r="I429" s="65">
        <v>0</v>
      </c>
      <c r="J429" s="82">
        <v>8742</v>
      </c>
      <c r="K429" s="70" t="s">
        <v>34</v>
      </c>
      <c r="L429" s="65">
        <v>0</v>
      </c>
      <c r="M429" s="82" t="s">
        <v>58</v>
      </c>
      <c r="N429" s="37">
        <f ca="1" t="shared" si="26"/>
        <v>5.53333333333333</v>
      </c>
      <c r="O429" s="70" t="s">
        <v>152</v>
      </c>
      <c r="P429" s="65">
        <v>8742</v>
      </c>
      <c r="Q429" s="66" t="s">
        <v>53</v>
      </c>
      <c r="R429" s="82" t="s">
        <v>638</v>
      </c>
      <c r="S429" s="58"/>
      <c r="T429" s="5"/>
    </row>
    <row r="430" ht="43.2" spans="1:20">
      <c r="A430" s="65">
        <v>457</v>
      </c>
      <c r="B430" s="79" t="s">
        <v>28</v>
      </c>
      <c r="C430" s="79" t="s">
        <v>93</v>
      </c>
      <c r="D430" s="82" t="s">
        <v>413</v>
      </c>
      <c r="E430" s="67" t="s">
        <v>31</v>
      </c>
      <c r="F430" s="57" t="s">
        <v>568</v>
      </c>
      <c r="G430" s="114" t="s">
        <v>585</v>
      </c>
      <c r="H430" s="76">
        <v>46086</v>
      </c>
      <c r="I430" s="65">
        <v>0</v>
      </c>
      <c r="J430" s="82">
        <v>32947</v>
      </c>
      <c r="K430" s="70" t="s">
        <v>34</v>
      </c>
      <c r="L430" s="65">
        <v>0</v>
      </c>
      <c r="M430" s="82" t="s">
        <v>35</v>
      </c>
      <c r="N430" s="37">
        <f ca="1" t="shared" si="26"/>
        <v>5.53333333333333</v>
      </c>
      <c r="O430" s="70" t="s">
        <v>152</v>
      </c>
      <c r="P430" s="65">
        <v>32947</v>
      </c>
      <c r="Q430" s="66" t="s">
        <v>53</v>
      </c>
      <c r="R430" s="82" t="s">
        <v>639</v>
      </c>
      <c r="S430" s="58"/>
      <c r="T430" s="5"/>
    </row>
    <row r="431" ht="43.2" spans="1:20">
      <c r="A431" s="65">
        <v>458</v>
      </c>
      <c r="B431" s="79" t="s">
        <v>28</v>
      </c>
      <c r="C431" s="79" t="s">
        <v>93</v>
      </c>
      <c r="D431" s="82" t="s">
        <v>413</v>
      </c>
      <c r="E431" s="67" t="s">
        <v>31</v>
      </c>
      <c r="F431" s="57" t="s">
        <v>568</v>
      </c>
      <c r="G431" s="114" t="s">
        <v>585</v>
      </c>
      <c r="H431" s="76">
        <v>46086</v>
      </c>
      <c r="I431" s="65">
        <v>0</v>
      </c>
      <c r="J431" s="82">
        <v>6345</v>
      </c>
      <c r="K431" s="70" t="s">
        <v>34</v>
      </c>
      <c r="L431" s="65">
        <v>0</v>
      </c>
      <c r="M431" s="82" t="s">
        <v>79</v>
      </c>
      <c r="N431" s="37">
        <f ca="1" t="shared" si="26"/>
        <v>5.53333333333333</v>
      </c>
      <c r="O431" s="70" t="s">
        <v>152</v>
      </c>
      <c r="P431" s="65">
        <v>6345</v>
      </c>
      <c r="Q431" s="66" t="s">
        <v>53</v>
      </c>
      <c r="R431" s="82" t="s">
        <v>640</v>
      </c>
      <c r="S431" s="58"/>
      <c r="T431" s="5"/>
    </row>
    <row r="432" ht="43.2" spans="1:20">
      <c r="A432" s="65">
        <v>464</v>
      </c>
      <c r="B432" s="79" t="s">
        <v>28</v>
      </c>
      <c r="C432" s="79" t="s">
        <v>93</v>
      </c>
      <c r="D432" s="82" t="s">
        <v>413</v>
      </c>
      <c r="E432" s="67" t="s">
        <v>31</v>
      </c>
      <c r="F432" s="57" t="s">
        <v>568</v>
      </c>
      <c r="G432" s="114" t="s">
        <v>585</v>
      </c>
      <c r="H432" s="76">
        <v>46086</v>
      </c>
      <c r="I432" s="65">
        <v>0</v>
      </c>
      <c r="J432" s="82">
        <v>13583</v>
      </c>
      <c r="K432" s="70" t="s">
        <v>34</v>
      </c>
      <c r="L432" s="65">
        <v>0</v>
      </c>
      <c r="M432" s="82" t="s">
        <v>79</v>
      </c>
      <c r="N432" s="37">
        <f ca="1" t="shared" si="26"/>
        <v>5.53333333333333</v>
      </c>
      <c r="O432" s="70" t="s">
        <v>152</v>
      </c>
      <c r="P432" s="65">
        <v>13583</v>
      </c>
      <c r="Q432" s="66" t="s">
        <v>53</v>
      </c>
      <c r="R432" s="82" t="s">
        <v>641</v>
      </c>
      <c r="S432" s="58"/>
      <c r="T432" s="5"/>
    </row>
    <row r="433" ht="43.2" spans="1:20">
      <c r="A433" s="65">
        <v>465</v>
      </c>
      <c r="B433" s="79" t="s">
        <v>28</v>
      </c>
      <c r="C433" s="79" t="s">
        <v>93</v>
      </c>
      <c r="D433" s="82" t="s">
        <v>413</v>
      </c>
      <c r="E433" s="67" t="s">
        <v>31</v>
      </c>
      <c r="F433" s="57" t="s">
        <v>568</v>
      </c>
      <c r="G433" s="114" t="s">
        <v>585</v>
      </c>
      <c r="H433" s="76">
        <v>46086</v>
      </c>
      <c r="I433" s="65">
        <v>0</v>
      </c>
      <c r="J433" s="82">
        <v>4653</v>
      </c>
      <c r="K433" s="70" t="s">
        <v>34</v>
      </c>
      <c r="L433" s="65">
        <v>0</v>
      </c>
      <c r="M433" s="82" t="s">
        <v>79</v>
      </c>
      <c r="N433" s="37">
        <f ca="1" t="shared" si="26"/>
        <v>5.53333333333333</v>
      </c>
      <c r="O433" s="70" t="s">
        <v>152</v>
      </c>
      <c r="P433" s="65">
        <v>4653</v>
      </c>
      <c r="Q433" s="66" t="s">
        <v>53</v>
      </c>
      <c r="R433" s="82" t="s">
        <v>642</v>
      </c>
      <c r="S433" s="58"/>
      <c r="T433" s="5"/>
    </row>
    <row r="434" ht="43.2" spans="1:20">
      <c r="A434" s="65">
        <v>467</v>
      </c>
      <c r="B434" s="79" t="s">
        <v>28</v>
      </c>
      <c r="C434" s="79" t="s">
        <v>93</v>
      </c>
      <c r="D434" s="82" t="s">
        <v>413</v>
      </c>
      <c r="E434" s="67" t="s">
        <v>31</v>
      </c>
      <c r="F434" s="57" t="s">
        <v>568</v>
      </c>
      <c r="G434" s="114" t="s">
        <v>585</v>
      </c>
      <c r="H434" s="76">
        <v>46086</v>
      </c>
      <c r="I434" s="65">
        <v>0</v>
      </c>
      <c r="J434" s="82">
        <v>15980</v>
      </c>
      <c r="K434" s="70" t="s">
        <v>34</v>
      </c>
      <c r="L434" s="65">
        <v>0</v>
      </c>
      <c r="M434" s="82" t="s">
        <v>79</v>
      </c>
      <c r="N434" s="37">
        <f ca="1" t="shared" si="26"/>
        <v>5.53333333333333</v>
      </c>
      <c r="O434" s="70" t="s">
        <v>152</v>
      </c>
      <c r="P434" s="65">
        <v>15980</v>
      </c>
      <c r="Q434" s="66" t="s">
        <v>53</v>
      </c>
      <c r="R434" s="82" t="s">
        <v>643</v>
      </c>
      <c r="S434" s="58"/>
      <c r="T434" s="5"/>
    </row>
    <row r="435" ht="43.2" spans="1:20">
      <c r="A435" s="65">
        <v>472</v>
      </c>
      <c r="B435" s="79" t="s">
        <v>28</v>
      </c>
      <c r="C435" s="79" t="s">
        <v>93</v>
      </c>
      <c r="D435" s="82" t="s">
        <v>413</v>
      </c>
      <c r="E435" s="67" t="s">
        <v>31</v>
      </c>
      <c r="F435" s="57" t="s">
        <v>568</v>
      </c>
      <c r="G435" s="114" t="s">
        <v>585</v>
      </c>
      <c r="H435" s="76">
        <v>46086</v>
      </c>
      <c r="I435" s="65">
        <v>0</v>
      </c>
      <c r="J435" s="82">
        <v>12361</v>
      </c>
      <c r="K435" s="70" t="s">
        <v>34</v>
      </c>
      <c r="L435" s="65">
        <v>0</v>
      </c>
      <c r="M435" s="82" t="s">
        <v>79</v>
      </c>
      <c r="N435" s="37">
        <f ca="1" t="shared" si="26"/>
        <v>5.53333333333333</v>
      </c>
      <c r="O435" s="70" t="s">
        <v>152</v>
      </c>
      <c r="P435" s="65">
        <v>12361</v>
      </c>
      <c r="Q435" s="66" t="s">
        <v>53</v>
      </c>
      <c r="R435" s="82" t="s">
        <v>644</v>
      </c>
      <c r="S435" s="58"/>
      <c r="T435" s="5"/>
    </row>
    <row r="436" ht="43.2" spans="1:20">
      <c r="A436" s="65">
        <v>473</v>
      </c>
      <c r="B436" s="79" t="s">
        <v>28</v>
      </c>
      <c r="C436" s="79" t="s">
        <v>93</v>
      </c>
      <c r="D436" s="82" t="s">
        <v>413</v>
      </c>
      <c r="E436" s="67" t="s">
        <v>31</v>
      </c>
      <c r="F436" s="57" t="s">
        <v>568</v>
      </c>
      <c r="G436" s="114" t="s">
        <v>585</v>
      </c>
      <c r="H436" s="76">
        <v>46086</v>
      </c>
      <c r="I436" s="65">
        <v>0</v>
      </c>
      <c r="J436" s="82">
        <v>6251</v>
      </c>
      <c r="K436" s="70" t="s">
        <v>34</v>
      </c>
      <c r="L436" s="65">
        <v>0</v>
      </c>
      <c r="M436" s="82" t="s">
        <v>79</v>
      </c>
      <c r="N436" s="37">
        <f ca="1" t="shared" si="26"/>
        <v>5.53333333333333</v>
      </c>
      <c r="O436" s="70" t="s">
        <v>152</v>
      </c>
      <c r="P436" s="65">
        <v>6251</v>
      </c>
      <c r="Q436" s="66" t="s">
        <v>53</v>
      </c>
      <c r="R436" s="82" t="s">
        <v>645</v>
      </c>
      <c r="S436" s="58"/>
      <c r="T436" s="5"/>
    </row>
    <row r="437" ht="43.2" spans="1:20">
      <c r="A437" s="65">
        <v>474</v>
      </c>
      <c r="B437" s="79" t="s">
        <v>28</v>
      </c>
      <c r="C437" s="79" t="s">
        <v>93</v>
      </c>
      <c r="D437" s="82" t="s">
        <v>413</v>
      </c>
      <c r="E437" s="67" t="s">
        <v>31</v>
      </c>
      <c r="F437" s="57" t="s">
        <v>568</v>
      </c>
      <c r="G437" s="114" t="s">
        <v>585</v>
      </c>
      <c r="H437" s="76">
        <v>46086</v>
      </c>
      <c r="I437" s="65">
        <v>0</v>
      </c>
      <c r="J437" s="82">
        <v>10481</v>
      </c>
      <c r="K437" s="70" t="s">
        <v>34</v>
      </c>
      <c r="L437" s="65">
        <v>0</v>
      </c>
      <c r="M437" s="82" t="s">
        <v>79</v>
      </c>
      <c r="N437" s="37">
        <f ca="1" t="shared" si="26"/>
        <v>5.53333333333333</v>
      </c>
      <c r="O437" s="70" t="s">
        <v>152</v>
      </c>
      <c r="P437" s="65">
        <v>10481</v>
      </c>
      <c r="Q437" s="66" t="s">
        <v>53</v>
      </c>
      <c r="R437" s="82" t="s">
        <v>646</v>
      </c>
      <c r="S437" s="58"/>
      <c r="T437" s="5"/>
    </row>
    <row r="438" ht="43.2" spans="1:20">
      <c r="A438" s="65">
        <v>302</v>
      </c>
      <c r="B438" s="79" t="s">
        <v>28</v>
      </c>
      <c r="C438" s="79" t="s">
        <v>552</v>
      </c>
      <c r="D438" s="82" t="s">
        <v>57</v>
      </c>
      <c r="E438" s="79" t="s">
        <v>31</v>
      </c>
      <c r="F438" s="79" t="s">
        <v>553</v>
      </c>
      <c r="G438" s="113" t="s">
        <v>554</v>
      </c>
      <c r="H438" s="76">
        <v>46091</v>
      </c>
      <c r="I438" s="65">
        <v>0</v>
      </c>
      <c r="J438" s="82">
        <v>7400</v>
      </c>
      <c r="K438" s="70" t="s">
        <v>34</v>
      </c>
      <c r="L438" s="65">
        <v>0</v>
      </c>
      <c r="M438" s="82" t="s">
        <v>35</v>
      </c>
      <c r="N438" s="37">
        <f ca="1" t="shared" si="26"/>
        <v>5.36666666666667</v>
      </c>
      <c r="O438" s="71">
        <v>46204</v>
      </c>
      <c r="P438" s="65">
        <f>J438</f>
        <v>7400</v>
      </c>
      <c r="Q438" s="66" t="s">
        <v>555</v>
      </c>
      <c r="R438" s="82" t="s">
        <v>647</v>
      </c>
      <c r="S438" s="58" t="s">
        <v>103</v>
      </c>
      <c r="T438" s="5"/>
    </row>
    <row r="439" ht="43.2" spans="1:20">
      <c r="A439" s="65">
        <v>450</v>
      </c>
      <c r="B439" s="79" t="s">
        <v>28</v>
      </c>
      <c r="C439" s="79" t="s">
        <v>93</v>
      </c>
      <c r="D439" s="82" t="s">
        <v>413</v>
      </c>
      <c r="E439" s="67" t="s">
        <v>31</v>
      </c>
      <c r="F439" s="57" t="s">
        <v>568</v>
      </c>
      <c r="G439" s="114" t="s">
        <v>585</v>
      </c>
      <c r="H439" s="76">
        <v>46091</v>
      </c>
      <c r="I439" s="65">
        <v>0</v>
      </c>
      <c r="J439" s="82">
        <v>68620</v>
      </c>
      <c r="K439" s="70" t="s">
        <v>34</v>
      </c>
      <c r="L439" s="65">
        <v>0</v>
      </c>
      <c r="M439" s="82" t="s">
        <v>35</v>
      </c>
      <c r="N439" s="37">
        <f ca="1" t="shared" si="26"/>
        <v>5.36666666666667</v>
      </c>
      <c r="O439" s="70" t="s">
        <v>152</v>
      </c>
      <c r="P439" s="65">
        <v>68620</v>
      </c>
      <c r="Q439" s="66" t="s">
        <v>53</v>
      </c>
      <c r="R439" s="82" t="s">
        <v>648</v>
      </c>
      <c r="S439" s="58"/>
      <c r="T439" s="5"/>
    </row>
    <row r="440" ht="43.2" spans="1:20">
      <c r="A440" s="65">
        <v>460</v>
      </c>
      <c r="B440" s="79" t="s">
        <v>28</v>
      </c>
      <c r="C440" s="79" t="s">
        <v>93</v>
      </c>
      <c r="D440" s="82" t="s">
        <v>413</v>
      </c>
      <c r="E440" s="67" t="s">
        <v>31</v>
      </c>
      <c r="F440" s="57" t="s">
        <v>568</v>
      </c>
      <c r="G440" s="114" t="s">
        <v>585</v>
      </c>
      <c r="H440" s="76">
        <v>46091</v>
      </c>
      <c r="I440" s="65">
        <v>0</v>
      </c>
      <c r="J440" s="82">
        <v>11280</v>
      </c>
      <c r="K440" s="70" t="s">
        <v>34</v>
      </c>
      <c r="L440" s="65">
        <v>0</v>
      </c>
      <c r="M440" s="82" t="s">
        <v>47</v>
      </c>
      <c r="N440" s="37">
        <f ca="1" t="shared" si="26"/>
        <v>5.36666666666667</v>
      </c>
      <c r="O440" s="70" t="s">
        <v>152</v>
      </c>
      <c r="P440" s="65">
        <v>11280</v>
      </c>
      <c r="Q440" s="66" t="s">
        <v>53</v>
      </c>
      <c r="R440" s="82" t="s">
        <v>649</v>
      </c>
      <c r="S440" s="58"/>
      <c r="T440" s="5"/>
    </row>
    <row r="441" ht="43.2" spans="1:20">
      <c r="A441" s="65">
        <v>462</v>
      </c>
      <c r="B441" s="79" t="s">
        <v>28</v>
      </c>
      <c r="C441" s="79" t="s">
        <v>93</v>
      </c>
      <c r="D441" s="82" t="s">
        <v>413</v>
      </c>
      <c r="E441" s="67" t="s">
        <v>31</v>
      </c>
      <c r="F441" s="57" t="s">
        <v>568</v>
      </c>
      <c r="G441" s="114" t="s">
        <v>585</v>
      </c>
      <c r="H441" s="76">
        <v>46091</v>
      </c>
      <c r="I441" s="65">
        <v>0</v>
      </c>
      <c r="J441" s="82">
        <v>40890</v>
      </c>
      <c r="K441" s="70" t="s">
        <v>34</v>
      </c>
      <c r="L441" s="65">
        <v>0</v>
      </c>
      <c r="M441" s="84" t="s">
        <v>58</v>
      </c>
      <c r="N441" s="37">
        <f ca="1" t="shared" si="26"/>
        <v>5.36666666666667</v>
      </c>
      <c r="O441" s="70" t="s">
        <v>152</v>
      </c>
      <c r="P441" s="65">
        <v>40890</v>
      </c>
      <c r="Q441" s="66" t="s">
        <v>53</v>
      </c>
      <c r="R441" s="82" t="s">
        <v>650</v>
      </c>
      <c r="S441" s="58"/>
      <c r="T441" s="5"/>
    </row>
    <row r="442" ht="43.2" spans="1:20">
      <c r="A442" s="65">
        <v>293</v>
      </c>
      <c r="B442" s="79" t="s">
        <v>28</v>
      </c>
      <c r="C442" s="79" t="s">
        <v>29</v>
      </c>
      <c r="D442" s="82" t="s">
        <v>57</v>
      </c>
      <c r="E442" s="67" t="s">
        <v>31</v>
      </c>
      <c r="F442" s="115" t="s">
        <v>651</v>
      </c>
      <c r="G442" s="68" t="s">
        <v>33</v>
      </c>
      <c r="H442" s="76">
        <v>46091</v>
      </c>
      <c r="I442" s="65">
        <v>0</v>
      </c>
      <c r="J442" s="82">
        <v>19880</v>
      </c>
      <c r="K442" s="70" t="s">
        <v>34</v>
      </c>
      <c r="L442" s="65">
        <v>0</v>
      </c>
      <c r="M442" s="82" t="s">
        <v>47</v>
      </c>
      <c r="N442" s="37">
        <f ca="1" t="shared" si="26"/>
        <v>5.36666666666667</v>
      </c>
      <c r="O442" s="70" t="s">
        <v>179</v>
      </c>
      <c r="P442" s="65">
        <f>J442</f>
        <v>19880</v>
      </c>
      <c r="Q442" s="66" t="s">
        <v>180</v>
      </c>
      <c r="R442" s="82" t="s">
        <v>652</v>
      </c>
      <c r="S442" s="58" t="s">
        <v>55</v>
      </c>
      <c r="T442" s="5"/>
    </row>
    <row r="443" ht="43.2" spans="1:20">
      <c r="A443" s="65">
        <v>290</v>
      </c>
      <c r="B443" s="79" t="s">
        <v>28</v>
      </c>
      <c r="C443" s="79" t="s">
        <v>552</v>
      </c>
      <c r="D443" s="82" t="s">
        <v>57</v>
      </c>
      <c r="E443" s="79" t="s">
        <v>31</v>
      </c>
      <c r="F443" s="57" t="s">
        <v>553</v>
      </c>
      <c r="G443" s="113" t="s">
        <v>554</v>
      </c>
      <c r="H443" s="76">
        <v>46093</v>
      </c>
      <c r="I443" s="65">
        <v>0</v>
      </c>
      <c r="J443" s="82">
        <v>7400</v>
      </c>
      <c r="K443" s="70" t="s">
        <v>34</v>
      </c>
      <c r="L443" s="65">
        <v>0</v>
      </c>
      <c r="M443" s="82" t="s">
        <v>35</v>
      </c>
      <c r="N443" s="37">
        <f ca="1" t="shared" si="26"/>
        <v>5.3</v>
      </c>
      <c r="O443" s="71">
        <v>46204</v>
      </c>
      <c r="P443" s="65">
        <f>J443</f>
        <v>7400</v>
      </c>
      <c r="Q443" s="66" t="s">
        <v>555</v>
      </c>
      <c r="R443" s="82" t="s">
        <v>653</v>
      </c>
      <c r="S443" s="58" t="s">
        <v>103</v>
      </c>
      <c r="T443" s="5"/>
    </row>
    <row r="444" ht="43.2" spans="1:20">
      <c r="A444" s="65">
        <v>299</v>
      </c>
      <c r="B444" s="79" t="s">
        <v>28</v>
      </c>
      <c r="C444" s="79" t="s">
        <v>552</v>
      </c>
      <c r="D444" s="82" t="s">
        <v>57</v>
      </c>
      <c r="E444" s="79" t="s">
        <v>31</v>
      </c>
      <c r="F444" s="79" t="s">
        <v>553</v>
      </c>
      <c r="G444" s="113" t="s">
        <v>554</v>
      </c>
      <c r="H444" s="76">
        <v>46093</v>
      </c>
      <c r="I444" s="65">
        <v>0</v>
      </c>
      <c r="J444" s="82">
        <v>7400</v>
      </c>
      <c r="K444" s="70" t="s">
        <v>34</v>
      </c>
      <c r="L444" s="65">
        <v>0</v>
      </c>
      <c r="M444" s="82" t="s">
        <v>35</v>
      </c>
      <c r="N444" s="37">
        <f ca="1" t="shared" si="26"/>
        <v>5.3</v>
      </c>
      <c r="O444" s="71">
        <v>46204</v>
      </c>
      <c r="P444" s="65">
        <f>J444</f>
        <v>7400</v>
      </c>
      <c r="Q444" s="66" t="s">
        <v>555</v>
      </c>
      <c r="R444" s="82" t="s">
        <v>654</v>
      </c>
      <c r="S444" s="58" t="s">
        <v>103</v>
      </c>
      <c r="T444" s="5"/>
    </row>
    <row r="445" ht="43.2" spans="1:20">
      <c r="A445" s="65">
        <v>297</v>
      </c>
      <c r="B445" s="79" t="s">
        <v>28</v>
      </c>
      <c r="C445" s="79" t="s">
        <v>93</v>
      </c>
      <c r="D445" s="82" t="s">
        <v>413</v>
      </c>
      <c r="E445" s="67" t="s">
        <v>31</v>
      </c>
      <c r="F445" s="57" t="s">
        <v>568</v>
      </c>
      <c r="G445" s="114" t="s">
        <v>585</v>
      </c>
      <c r="H445" s="76">
        <v>46093</v>
      </c>
      <c r="I445" s="65">
        <v>0</v>
      </c>
      <c r="J445" s="82">
        <v>8977</v>
      </c>
      <c r="K445" s="70" t="s">
        <v>34</v>
      </c>
      <c r="L445" s="65">
        <v>0</v>
      </c>
      <c r="M445" s="82" t="s">
        <v>47</v>
      </c>
      <c r="N445" s="37">
        <f ca="1" t="shared" ref="N445:N508" si="27">(TODAY()-H445)/30</f>
        <v>5.3</v>
      </c>
      <c r="O445" s="70" t="s">
        <v>152</v>
      </c>
      <c r="P445" s="65">
        <f>J445</f>
        <v>8977</v>
      </c>
      <c r="Q445" s="66" t="s">
        <v>53</v>
      </c>
      <c r="R445" s="82" t="s">
        <v>655</v>
      </c>
      <c r="S445" s="58"/>
      <c r="T445" s="5"/>
    </row>
    <row r="446" ht="43.2" spans="1:20">
      <c r="A446" s="65">
        <v>292</v>
      </c>
      <c r="B446" s="79" t="s">
        <v>28</v>
      </c>
      <c r="C446" s="79" t="s">
        <v>552</v>
      </c>
      <c r="D446" s="82" t="s">
        <v>57</v>
      </c>
      <c r="E446" s="79" t="s">
        <v>31</v>
      </c>
      <c r="F446" s="57" t="s">
        <v>553</v>
      </c>
      <c r="G446" s="113" t="s">
        <v>554</v>
      </c>
      <c r="H446" s="76">
        <v>46094</v>
      </c>
      <c r="I446" s="65">
        <v>0</v>
      </c>
      <c r="J446" s="82">
        <v>7400</v>
      </c>
      <c r="K446" s="70" t="s">
        <v>34</v>
      </c>
      <c r="L446" s="65">
        <v>0</v>
      </c>
      <c r="M446" s="82" t="s">
        <v>35</v>
      </c>
      <c r="N446" s="37">
        <f ca="1" t="shared" si="27"/>
        <v>5.26666666666667</v>
      </c>
      <c r="O446" s="71">
        <v>46204</v>
      </c>
      <c r="P446" s="65">
        <f>J446</f>
        <v>7400</v>
      </c>
      <c r="Q446" s="66" t="s">
        <v>555</v>
      </c>
      <c r="R446" s="82" t="s">
        <v>656</v>
      </c>
      <c r="S446" s="58" t="s">
        <v>103</v>
      </c>
      <c r="T446" s="5"/>
    </row>
    <row r="447" ht="43.2" spans="1:20">
      <c r="A447" s="65">
        <v>455</v>
      </c>
      <c r="B447" s="79" t="s">
        <v>28</v>
      </c>
      <c r="C447" s="79" t="s">
        <v>93</v>
      </c>
      <c r="D447" s="82" t="s">
        <v>413</v>
      </c>
      <c r="E447" s="67" t="s">
        <v>31</v>
      </c>
      <c r="F447" s="57" t="s">
        <v>568</v>
      </c>
      <c r="G447" s="114" t="s">
        <v>585</v>
      </c>
      <c r="H447" s="76">
        <v>46094</v>
      </c>
      <c r="I447" s="65">
        <v>0</v>
      </c>
      <c r="J447" s="82">
        <v>4700</v>
      </c>
      <c r="K447" s="70" t="s">
        <v>34</v>
      </c>
      <c r="L447" s="65">
        <v>0</v>
      </c>
      <c r="M447" s="82" t="s">
        <v>79</v>
      </c>
      <c r="N447" s="37">
        <f ca="1" t="shared" si="27"/>
        <v>5.26666666666667</v>
      </c>
      <c r="O447" s="70" t="s">
        <v>152</v>
      </c>
      <c r="P447" s="65">
        <v>4700</v>
      </c>
      <c r="Q447" s="66" t="s">
        <v>53</v>
      </c>
      <c r="R447" s="82" t="s">
        <v>657</v>
      </c>
      <c r="S447" s="58"/>
      <c r="T447" s="5"/>
    </row>
    <row r="448" ht="43.2" spans="1:20">
      <c r="A448" s="65">
        <v>468</v>
      </c>
      <c r="B448" s="79" t="s">
        <v>28</v>
      </c>
      <c r="C448" s="79" t="s">
        <v>93</v>
      </c>
      <c r="D448" s="82" t="s">
        <v>413</v>
      </c>
      <c r="E448" s="67" t="s">
        <v>31</v>
      </c>
      <c r="F448" s="57" t="s">
        <v>568</v>
      </c>
      <c r="G448" s="114" t="s">
        <v>585</v>
      </c>
      <c r="H448" s="76">
        <v>46094</v>
      </c>
      <c r="I448" s="65">
        <v>0</v>
      </c>
      <c r="J448" s="82">
        <v>7285</v>
      </c>
      <c r="K448" s="70" t="s">
        <v>34</v>
      </c>
      <c r="L448" s="65">
        <v>0</v>
      </c>
      <c r="M448" s="82" t="s">
        <v>79</v>
      </c>
      <c r="N448" s="37">
        <f ca="1" t="shared" si="27"/>
        <v>5.26666666666667</v>
      </c>
      <c r="O448" s="70" t="s">
        <v>152</v>
      </c>
      <c r="P448" s="65">
        <v>7285</v>
      </c>
      <c r="Q448" s="66" t="s">
        <v>53</v>
      </c>
      <c r="R448" s="82" t="s">
        <v>658</v>
      </c>
      <c r="S448" s="58"/>
      <c r="T448" s="5"/>
    </row>
    <row r="449" ht="43.2" spans="1:20">
      <c r="A449" s="65">
        <v>509</v>
      </c>
      <c r="B449" s="79" t="s">
        <v>28</v>
      </c>
      <c r="C449" s="79" t="s">
        <v>49</v>
      </c>
      <c r="D449" s="82" t="s">
        <v>57</v>
      </c>
      <c r="E449" s="67" t="s">
        <v>31</v>
      </c>
      <c r="F449" s="110" t="s">
        <v>609</v>
      </c>
      <c r="G449" s="83" t="s">
        <v>610</v>
      </c>
      <c r="H449" s="76">
        <v>46094.5951115741</v>
      </c>
      <c r="I449" s="65">
        <v>0</v>
      </c>
      <c r="J449" s="82">
        <v>10325</v>
      </c>
      <c r="K449" s="70" t="s">
        <v>34</v>
      </c>
      <c r="L449" s="65">
        <v>0</v>
      </c>
      <c r="M449" s="84" t="s">
        <v>659</v>
      </c>
      <c r="N449" s="37">
        <f ca="1" t="shared" si="27"/>
        <v>5.24682961419676</v>
      </c>
      <c r="O449" s="57" t="s">
        <v>52</v>
      </c>
      <c r="P449" s="65">
        <v>10325</v>
      </c>
      <c r="Q449" s="66" t="s">
        <v>201</v>
      </c>
      <c r="R449" s="82" t="s">
        <v>660</v>
      </c>
      <c r="S449" s="5"/>
    </row>
    <row r="450" ht="43.2" spans="1:20">
      <c r="A450" s="65">
        <v>510</v>
      </c>
      <c r="B450" s="79" t="s">
        <v>28</v>
      </c>
      <c r="C450" s="79" t="s">
        <v>49</v>
      </c>
      <c r="D450" s="82" t="s">
        <v>57</v>
      </c>
      <c r="E450" s="67" t="s">
        <v>31</v>
      </c>
      <c r="F450" s="110" t="s">
        <v>609</v>
      </c>
      <c r="G450" s="83" t="s">
        <v>610</v>
      </c>
      <c r="H450" s="76">
        <v>46094.5951725694</v>
      </c>
      <c r="I450" s="65">
        <v>0</v>
      </c>
      <c r="J450" s="82">
        <v>10325</v>
      </c>
      <c r="K450" s="70" t="s">
        <v>34</v>
      </c>
      <c r="L450" s="65">
        <v>0</v>
      </c>
      <c r="M450" s="84" t="s">
        <v>659</v>
      </c>
      <c r="N450" s="37">
        <f ca="1" t="shared" si="27"/>
        <v>5.2468275810199</v>
      </c>
      <c r="O450" s="57" t="s">
        <v>52</v>
      </c>
      <c r="P450" s="65">
        <v>10325</v>
      </c>
      <c r="Q450" s="66" t="s">
        <v>201</v>
      </c>
      <c r="R450" s="82" t="s">
        <v>661</v>
      </c>
      <c r="S450" s="5"/>
    </row>
    <row r="451" ht="43.2" spans="1:20">
      <c r="A451" s="65">
        <v>291</v>
      </c>
      <c r="B451" s="79" t="s">
        <v>28</v>
      </c>
      <c r="C451" s="79" t="s">
        <v>552</v>
      </c>
      <c r="D451" s="82" t="s">
        <v>57</v>
      </c>
      <c r="E451" s="79" t="s">
        <v>31</v>
      </c>
      <c r="F451" s="57" t="s">
        <v>553</v>
      </c>
      <c r="G451" s="113" t="s">
        <v>554</v>
      </c>
      <c r="H451" s="76">
        <v>46097</v>
      </c>
      <c r="I451" s="65">
        <v>0</v>
      </c>
      <c r="J451" s="82">
        <v>12400</v>
      </c>
      <c r="K451" s="70" t="s">
        <v>34</v>
      </c>
      <c r="L451" s="65">
        <v>0</v>
      </c>
      <c r="M451" s="82" t="s">
        <v>58</v>
      </c>
      <c r="N451" s="37">
        <f ca="1" t="shared" si="27"/>
        <v>5.16666666666667</v>
      </c>
      <c r="O451" s="71">
        <v>46204</v>
      </c>
      <c r="P451" s="65">
        <f>J451</f>
        <v>12400</v>
      </c>
      <c r="Q451" s="66" t="s">
        <v>555</v>
      </c>
      <c r="R451" s="82" t="s">
        <v>662</v>
      </c>
      <c r="S451" s="58" t="s">
        <v>103</v>
      </c>
      <c r="T451" s="5"/>
    </row>
    <row r="452" ht="43.2" spans="1:20">
      <c r="A452" s="65">
        <v>304</v>
      </c>
      <c r="B452" s="79" t="s">
        <v>28</v>
      </c>
      <c r="C452" s="79" t="s">
        <v>552</v>
      </c>
      <c r="D452" s="82" t="s">
        <v>57</v>
      </c>
      <c r="E452" s="79" t="s">
        <v>31</v>
      </c>
      <c r="F452" s="79" t="s">
        <v>553</v>
      </c>
      <c r="G452" s="113" t="s">
        <v>554</v>
      </c>
      <c r="H452" s="76">
        <v>46097</v>
      </c>
      <c r="I452" s="65">
        <v>0</v>
      </c>
      <c r="J452" s="82">
        <v>7400</v>
      </c>
      <c r="K452" s="70" t="s">
        <v>34</v>
      </c>
      <c r="L452" s="65">
        <v>0</v>
      </c>
      <c r="M452" s="82" t="s">
        <v>35</v>
      </c>
      <c r="N452" s="37">
        <f ca="1" t="shared" si="27"/>
        <v>5.16666666666667</v>
      </c>
      <c r="O452" s="71">
        <v>46204</v>
      </c>
      <c r="P452" s="65">
        <f>J452</f>
        <v>7400</v>
      </c>
      <c r="Q452" s="66" t="s">
        <v>555</v>
      </c>
      <c r="R452" s="82" t="s">
        <v>663</v>
      </c>
      <c r="S452" s="58" t="s">
        <v>103</v>
      </c>
      <c r="T452" s="5"/>
    </row>
    <row r="453" ht="43.2" spans="1:20">
      <c r="A453" s="65">
        <v>459</v>
      </c>
      <c r="B453" s="79" t="s">
        <v>28</v>
      </c>
      <c r="C453" s="79" t="s">
        <v>93</v>
      </c>
      <c r="D453" s="82" t="s">
        <v>413</v>
      </c>
      <c r="E453" s="67" t="s">
        <v>31</v>
      </c>
      <c r="F453" s="57" t="s">
        <v>568</v>
      </c>
      <c r="G453" s="114" t="s">
        <v>585</v>
      </c>
      <c r="H453" s="76">
        <v>46097</v>
      </c>
      <c r="I453" s="65">
        <v>0</v>
      </c>
      <c r="J453" s="82">
        <v>104810</v>
      </c>
      <c r="K453" s="70" t="s">
        <v>34</v>
      </c>
      <c r="L453" s="65">
        <v>0</v>
      </c>
      <c r="M453" s="82" t="s">
        <v>42</v>
      </c>
      <c r="N453" s="37">
        <f ca="1" t="shared" si="27"/>
        <v>5.16666666666667</v>
      </c>
      <c r="O453" s="70" t="s">
        <v>152</v>
      </c>
      <c r="P453" s="65">
        <v>104810</v>
      </c>
      <c r="Q453" s="66" t="s">
        <v>53</v>
      </c>
      <c r="R453" s="82" t="s">
        <v>664</v>
      </c>
      <c r="S453" s="58"/>
      <c r="T453" s="5"/>
    </row>
    <row r="454" ht="43.2" spans="1:20">
      <c r="A454" s="65">
        <v>466</v>
      </c>
      <c r="B454" s="79" t="s">
        <v>28</v>
      </c>
      <c r="C454" s="79" t="s">
        <v>93</v>
      </c>
      <c r="D454" s="82" t="s">
        <v>57</v>
      </c>
      <c r="E454" s="67" t="s">
        <v>31</v>
      </c>
      <c r="F454" s="57" t="s">
        <v>568</v>
      </c>
      <c r="G454" s="114" t="s">
        <v>585</v>
      </c>
      <c r="H454" s="76">
        <v>46097</v>
      </c>
      <c r="I454" s="65">
        <v>0</v>
      </c>
      <c r="J454" s="82">
        <v>11194</v>
      </c>
      <c r="K454" s="70" t="s">
        <v>34</v>
      </c>
      <c r="L454" s="65">
        <v>0</v>
      </c>
      <c r="M454" s="82" t="s">
        <v>58</v>
      </c>
      <c r="N454" s="37">
        <f ca="1" t="shared" si="27"/>
        <v>5.16666666666667</v>
      </c>
      <c r="O454" s="70" t="s">
        <v>152</v>
      </c>
      <c r="P454" s="65">
        <v>11194</v>
      </c>
      <c r="Q454" s="66" t="s">
        <v>53</v>
      </c>
      <c r="R454" s="82" t="s">
        <v>665</v>
      </c>
      <c r="S454" s="58"/>
      <c r="T454" s="5"/>
    </row>
    <row r="455" ht="57.6" spans="1:20">
      <c r="A455" s="65">
        <v>296</v>
      </c>
      <c r="B455" s="79" t="s">
        <v>28</v>
      </c>
      <c r="C455" s="79" t="s">
        <v>666</v>
      </c>
      <c r="D455" s="82" t="s">
        <v>413</v>
      </c>
      <c r="E455" s="171" t="s">
        <v>41</v>
      </c>
      <c r="F455" s="171" t="s">
        <v>41</v>
      </c>
      <c r="G455" s="172" t="s">
        <v>41</v>
      </c>
      <c r="H455" s="76">
        <v>46097</v>
      </c>
      <c r="I455" s="65">
        <v>0</v>
      </c>
      <c r="J455" s="82">
        <v>16720</v>
      </c>
      <c r="K455" s="70" t="s">
        <v>34</v>
      </c>
      <c r="L455" s="65">
        <v>0</v>
      </c>
      <c r="M455" s="82" t="s">
        <v>58</v>
      </c>
      <c r="N455" s="37">
        <f ca="1" t="shared" si="27"/>
        <v>5.16666666666667</v>
      </c>
      <c r="O455" s="71">
        <v>46174</v>
      </c>
      <c r="P455" s="65">
        <f>J455</f>
        <v>16720</v>
      </c>
      <c r="Q455" s="66" t="s">
        <v>667</v>
      </c>
      <c r="R455" s="82" t="s">
        <v>668</v>
      </c>
      <c r="S455" s="58" t="s">
        <v>103</v>
      </c>
      <c r="T455" s="5"/>
    </row>
    <row r="456" ht="43.2" spans="1:20">
      <c r="A456" s="65">
        <v>511</v>
      </c>
      <c r="B456" s="79" t="s">
        <v>28</v>
      </c>
      <c r="C456" s="79" t="s">
        <v>29</v>
      </c>
      <c r="D456" s="82" t="s">
        <v>57</v>
      </c>
      <c r="E456" s="67" t="s">
        <v>31</v>
      </c>
      <c r="F456" s="67" t="s">
        <v>669</v>
      </c>
      <c r="G456" s="80" t="s">
        <v>33</v>
      </c>
      <c r="H456" s="76">
        <v>46097</v>
      </c>
      <c r="I456" s="65">
        <v>0</v>
      </c>
      <c r="J456" s="82">
        <v>31500</v>
      </c>
      <c r="K456" s="70" t="s">
        <v>34</v>
      </c>
      <c r="L456" s="65">
        <v>0</v>
      </c>
      <c r="M456" s="82" t="s">
        <v>42</v>
      </c>
      <c r="N456" s="37">
        <f ca="1" t="shared" si="27"/>
        <v>5.16666666666667</v>
      </c>
      <c r="O456" s="71">
        <v>46388</v>
      </c>
      <c r="P456" s="65">
        <v>31500</v>
      </c>
      <c r="Q456" s="66" t="s">
        <v>145</v>
      </c>
      <c r="R456" s="82" t="s">
        <v>670</v>
      </c>
      <c r="S456" s="5"/>
    </row>
    <row r="457" ht="43.2" spans="1:20">
      <c r="A457" s="65">
        <v>369</v>
      </c>
      <c r="B457" s="79" t="s">
        <v>28</v>
      </c>
      <c r="C457" s="105" t="s">
        <v>456</v>
      </c>
      <c r="D457" s="82" t="s">
        <v>413</v>
      </c>
      <c r="E457" s="171" t="s">
        <v>41</v>
      </c>
      <c r="F457" s="171" t="s">
        <v>41</v>
      </c>
      <c r="G457" s="172" t="s">
        <v>41</v>
      </c>
      <c r="H457" s="76">
        <v>46098</v>
      </c>
      <c r="I457" s="65">
        <v>0</v>
      </c>
      <c r="J457" s="82">
        <v>8800</v>
      </c>
      <c r="K457" s="70" t="s">
        <v>34</v>
      </c>
      <c r="L457" s="65">
        <v>0</v>
      </c>
      <c r="M457" s="82" t="s">
        <v>42</v>
      </c>
      <c r="N457" s="37">
        <f ca="1" t="shared" si="27"/>
        <v>5.13333333333333</v>
      </c>
      <c r="O457" s="57" t="s">
        <v>52</v>
      </c>
      <c r="P457" s="65">
        <v>8800</v>
      </c>
      <c r="Q457" s="66" t="s">
        <v>53</v>
      </c>
      <c r="R457" s="82" t="s">
        <v>671</v>
      </c>
      <c r="S457" s="58" t="s">
        <v>103</v>
      </c>
      <c r="T457" s="5"/>
    </row>
    <row r="458" ht="43.2" spans="1:20">
      <c r="A458" s="65">
        <v>370</v>
      </c>
      <c r="B458" s="79" t="s">
        <v>28</v>
      </c>
      <c r="C458" s="105" t="s">
        <v>456</v>
      </c>
      <c r="D458" s="82" t="s">
        <v>413</v>
      </c>
      <c r="E458" s="171" t="s">
        <v>41</v>
      </c>
      <c r="F458" s="171" t="s">
        <v>41</v>
      </c>
      <c r="G458" s="172" t="s">
        <v>41</v>
      </c>
      <c r="H458" s="76">
        <v>46098</v>
      </c>
      <c r="I458" s="65">
        <v>0</v>
      </c>
      <c r="J458" s="82">
        <v>8000</v>
      </c>
      <c r="K458" s="70" t="s">
        <v>34</v>
      </c>
      <c r="L458" s="65">
        <v>0</v>
      </c>
      <c r="M458" s="82" t="s">
        <v>42</v>
      </c>
      <c r="N458" s="37">
        <f ca="1" t="shared" si="27"/>
        <v>5.13333333333333</v>
      </c>
      <c r="O458" s="57" t="s">
        <v>52</v>
      </c>
      <c r="P458" s="65">
        <v>8000</v>
      </c>
      <c r="Q458" s="66" t="s">
        <v>53</v>
      </c>
      <c r="R458" s="82" t="s">
        <v>671</v>
      </c>
      <c r="S458" s="58" t="s">
        <v>103</v>
      </c>
      <c r="T458" s="5"/>
    </row>
    <row r="459" ht="72" spans="1:20">
      <c r="A459" s="65">
        <v>586</v>
      </c>
      <c r="B459" s="79" t="s">
        <v>28</v>
      </c>
      <c r="C459" s="79" t="s">
        <v>672</v>
      </c>
      <c r="D459" s="79" t="s">
        <v>142</v>
      </c>
      <c r="E459" s="67"/>
      <c r="F459" s="67"/>
      <c r="G459" s="80"/>
      <c r="H459" s="76">
        <v>46099</v>
      </c>
      <c r="I459" s="65"/>
      <c r="J459" s="82">
        <v>142120</v>
      </c>
      <c r="K459" s="70"/>
      <c r="L459" s="65"/>
      <c r="M459" s="82" t="s">
        <v>42</v>
      </c>
      <c r="N459" s="37">
        <f ca="1" t="shared" si="27"/>
        <v>5.1</v>
      </c>
      <c r="O459" s="57" t="s">
        <v>52</v>
      </c>
      <c r="P459" s="65">
        <v>142120</v>
      </c>
      <c r="Q459" s="66" t="s">
        <v>468</v>
      </c>
      <c r="R459" s="82" t="s">
        <v>673</v>
      </c>
      <c r="S459" s="5"/>
    </row>
    <row r="460" ht="43.2" spans="1:20">
      <c r="A460" s="65">
        <v>461</v>
      </c>
      <c r="B460" s="79" t="s">
        <v>28</v>
      </c>
      <c r="C460" s="79" t="s">
        <v>93</v>
      </c>
      <c r="D460" s="82" t="s">
        <v>413</v>
      </c>
      <c r="E460" s="67" t="s">
        <v>31</v>
      </c>
      <c r="F460" s="57" t="s">
        <v>568</v>
      </c>
      <c r="G460" s="114" t="s">
        <v>585</v>
      </c>
      <c r="H460" s="76">
        <v>46099</v>
      </c>
      <c r="I460" s="65">
        <v>0</v>
      </c>
      <c r="J460" s="82">
        <v>4427</v>
      </c>
      <c r="K460" s="70" t="s">
        <v>34</v>
      </c>
      <c r="L460" s="65">
        <v>0</v>
      </c>
      <c r="M460" s="82" t="s">
        <v>47</v>
      </c>
      <c r="N460" s="37">
        <f ca="1" t="shared" si="27"/>
        <v>5.1</v>
      </c>
      <c r="O460" s="70" t="s">
        <v>152</v>
      </c>
      <c r="P460" s="65">
        <v>4427</v>
      </c>
      <c r="Q460" s="66" t="s">
        <v>53</v>
      </c>
      <c r="R460" s="82" t="s">
        <v>674</v>
      </c>
      <c r="S460" s="58"/>
      <c r="T460" s="5"/>
    </row>
    <row r="461" ht="43.2" spans="1:20">
      <c r="A461" s="65">
        <v>476</v>
      </c>
      <c r="B461" s="79" t="s">
        <v>28</v>
      </c>
      <c r="C461" s="79" t="s">
        <v>93</v>
      </c>
      <c r="D461" s="82" t="s">
        <v>57</v>
      </c>
      <c r="E461" s="67" t="s">
        <v>31</v>
      </c>
      <c r="F461" s="57" t="s">
        <v>568</v>
      </c>
      <c r="G461" s="114" t="s">
        <v>585</v>
      </c>
      <c r="H461" s="76">
        <v>46099</v>
      </c>
      <c r="I461" s="65">
        <v>0</v>
      </c>
      <c r="J461" s="82">
        <v>4969</v>
      </c>
      <c r="K461" s="70" t="s">
        <v>34</v>
      </c>
      <c r="L461" s="65">
        <v>0</v>
      </c>
      <c r="M461" s="82" t="s">
        <v>47</v>
      </c>
      <c r="N461" s="37">
        <f ca="1" t="shared" si="27"/>
        <v>5.1</v>
      </c>
      <c r="O461" s="70" t="s">
        <v>152</v>
      </c>
      <c r="P461" s="65">
        <v>4969</v>
      </c>
      <c r="Q461" s="66" t="s">
        <v>53</v>
      </c>
      <c r="R461" s="82" t="s">
        <v>675</v>
      </c>
      <c r="S461" s="58"/>
      <c r="T461" s="5"/>
    </row>
    <row r="462" ht="43.2" spans="1:20">
      <c r="A462" s="65">
        <v>371</v>
      </c>
      <c r="B462" s="79" t="s">
        <v>28</v>
      </c>
      <c r="C462" s="105" t="s">
        <v>456</v>
      </c>
      <c r="D462" s="82" t="s">
        <v>413</v>
      </c>
      <c r="E462" s="171" t="s">
        <v>41</v>
      </c>
      <c r="F462" s="171" t="s">
        <v>41</v>
      </c>
      <c r="G462" s="172" t="s">
        <v>41</v>
      </c>
      <c r="H462" s="76">
        <v>46105</v>
      </c>
      <c r="I462" s="65">
        <v>0</v>
      </c>
      <c r="J462" s="82">
        <v>30400</v>
      </c>
      <c r="K462" s="70" t="s">
        <v>34</v>
      </c>
      <c r="L462" s="65">
        <v>0</v>
      </c>
      <c r="M462" s="82" t="s">
        <v>58</v>
      </c>
      <c r="N462" s="37">
        <f ca="1" t="shared" si="27"/>
        <v>4.9</v>
      </c>
      <c r="O462" s="57" t="s">
        <v>52</v>
      </c>
      <c r="P462" s="65">
        <v>30400</v>
      </c>
      <c r="Q462" s="66" t="s">
        <v>53</v>
      </c>
      <c r="R462" s="82" t="s">
        <v>676</v>
      </c>
      <c r="S462" s="58" t="s">
        <v>103</v>
      </c>
      <c r="T462" s="5"/>
    </row>
    <row r="463" ht="43.2" spans="1:20">
      <c r="A463" s="65">
        <v>372</v>
      </c>
      <c r="B463" s="79" t="s">
        <v>28</v>
      </c>
      <c r="C463" s="105" t="s">
        <v>456</v>
      </c>
      <c r="D463" s="82" t="s">
        <v>413</v>
      </c>
      <c r="E463" s="171" t="s">
        <v>41</v>
      </c>
      <c r="F463" s="171" t="s">
        <v>41</v>
      </c>
      <c r="G463" s="172" t="s">
        <v>41</v>
      </c>
      <c r="H463" s="76">
        <v>46105</v>
      </c>
      <c r="I463" s="65">
        <v>0</v>
      </c>
      <c r="J463" s="82">
        <v>103600</v>
      </c>
      <c r="K463" s="70" t="s">
        <v>34</v>
      </c>
      <c r="L463" s="65">
        <v>0</v>
      </c>
      <c r="M463" s="82" t="s">
        <v>79</v>
      </c>
      <c r="N463" s="37">
        <f ca="1" t="shared" si="27"/>
        <v>4.9</v>
      </c>
      <c r="O463" s="57" t="s">
        <v>52</v>
      </c>
      <c r="P463" s="65">
        <v>103600</v>
      </c>
      <c r="Q463" s="66" t="s">
        <v>53</v>
      </c>
      <c r="R463" s="82" t="s">
        <v>677</v>
      </c>
      <c r="S463" s="58" t="s">
        <v>103</v>
      </c>
      <c r="T463" s="5"/>
    </row>
    <row r="464" ht="43.2" spans="1:20">
      <c r="A464" s="65">
        <v>588</v>
      </c>
      <c r="B464" s="66" t="s">
        <v>28</v>
      </c>
      <c r="C464" s="79" t="s">
        <v>49</v>
      </c>
      <c r="D464" s="79" t="s">
        <v>142</v>
      </c>
      <c r="E464" s="67" t="s">
        <v>31</v>
      </c>
      <c r="F464" s="67" t="s">
        <v>241</v>
      </c>
      <c r="G464" s="80" t="s">
        <v>290</v>
      </c>
      <c r="H464" s="76">
        <v>46105</v>
      </c>
      <c r="I464" s="65"/>
      <c r="J464" s="82">
        <v>46183</v>
      </c>
      <c r="K464" s="70"/>
      <c r="L464" s="65"/>
      <c r="M464" s="82" t="s">
        <v>47</v>
      </c>
      <c r="N464" s="37">
        <f ca="1" t="shared" si="27"/>
        <v>4.9</v>
      </c>
      <c r="O464" s="57" t="s">
        <v>52</v>
      </c>
      <c r="P464" s="65">
        <v>46183</v>
      </c>
      <c r="Q464" s="66" t="s">
        <v>53</v>
      </c>
      <c r="R464" s="82" t="s">
        <v>678</v>
      </c>
      <c r="S464" s="5"/>
    </row>
    <row r="465" ht="43.2" spans="1:20">
      <c r="A465" s="65">
        <v>463</v>
      </c>
      <c r="B465" s="79" t="s">
        <v>28</v>
      </c>
      <c r="C465" s="79" t="s">
        <v>93</v>
      </c>
      <c r="D465" s="82" t="s">
        <v>515</v>
      </c>
      <c r="E465" s="67" t="s">
        <v>31</v>
      </c>
      <c r="F465" s="57" t="s">
        <v>568</v>
      </c>
      <c r="G465" s="114" t="s">
        <v>585</v>
      </c>
      <c r="H465" s="76">
        <v>46105</v>
      </c>
      <c r="I465" s="65">
        <v>0</v>
      </c>
      <c r="J465" s="82">
        <v>0</v>
      </c>
      <c r="K465" s="70" t="s">
        <v>34</v>
      </c>
      <c r="L465" s="65">
        <v>0</v>
      </c>
      <c r="M465" s="84" t="s">
        <v>659</v>
      </c>
      <c r="N465" s="37">
        <f ca="1" t="shared" si="27"/>
        <v>4.9</v>
      </c>
      <c r="O465" s="70" t="s">
        <v>152</v>
      </c>
      <c r="P465" s="65">
        <v>0</v>
      </c>
      <c r="Q465" s="66" t="s">
        <v>53</v>
      </c>
      <c r="R465" s="82" t="s">
        <v>679</v>
      </c>
      <c r="S465" s="58"/>
      <c r="T465" s="5"/>
    </row>
    <row r="466" ht="72" spans="1:20">
      <c r="A466" s="65">
        <v>298</v>
      </c>
      <c r="B466" s="79" t="s">
        <v>28</v>
      </c>
      <c r="C466" s="79" t="s">
        <v>165</v>
      </c>
      <c r="D466" s="82" t="s">
        <v>57</v>
      </c>
      <c r="E466" s="171" t="s">
        <v>41</v>
      </c>
      <c r="F466" s="171" t="s">
        <v>41</v>
      </c>
      <c r="G466" s="172" t="s">
        <v>41</v>
      </c>
      <c r="H466" s="76">
        <v>46106</v>
      </c>
      <c r="I466" s="65">
        <v>0</v>
      </c>
      <c r="J466" s="82">
        <v>23111</v>
      </c>
      <c r="K466" s="70" t="s">
        <v>34</v>
      </c>
      <c r="L466" s="65">
        <v>0</v>
      </c>
      <c r="M466" s="82" t="s">
        <v>35</v>
      </c>
      <c r="N466" s="37">
        <f ca="1" t="shared" si="27"/>
        <v>4.86666666666667</v>
      </c>
      <c r="O466" s="71">
        <v>46296</v>
      </c>
      <c r="P466" s="65">
        <f t="shared" ref="P466:P473" si="28">J466</f>
        <v>23111</v>
      </c>
      <c r="Q466" s="66" t="s">
        <v>205</v>
      </c>
      <c r="R466" s="82" t="s">
        <v>680</v>
      </c>
      <c r="S466" s="58" t="s">
        <v>55</v>
      </c>
      <c r="T466" s="5"/>
    </row>
    <row r="467" ht="43.2" spans="1:20">
      <c r="A467" s="65">
        <v>295</v>
      </c>
      <c r="B467" s="79" t="s">
        <v>28</v>
      </c>
      <c r="C467" s="79" t="s">
        <v>49</v>
      </c>
      <c r="D467" s="82" t="s">
        <v>57</v>
      </c>
      <c r="E467" s="67"/>
      <c r="F467" s="112"/>
      <c r="G467" s="80"/>
      <c r="H467" s="76">
        <v>46106</v>
      </c>
      <c r="I467" s="65">
        <v>0</v>
      </c>
      <c r="J467" s="82">
        <v>7753</v>
      </c>
      <c r="K467" s="70" t="s">
        <v>34</v>
      </c>
      <c r="L467" s="65">
        <v>0</v>
      </c>
      <c r="M467" s="82" t="s">
        <v>47</v>
      </c>
      <c r="N467" s="37">
        <f ca="1" t="shared" si="27"/>
        <v>4.86666666666667</v>
      </c>
      <c r="O467" s="57" t="s">
        <v>52</v>
      </c>
      <c r="P467" s="65">
        <f t="shared" si="28"/>
        <v>7753</v>
      </c>
      <c r="Q467" s="66" t="s">
        <v>681</v>
      </c>
      <c r="R467" s="82" t="s">
        <v>682</v>
      </c>
      <c r="S467" s="58" t="s">
        <v>55</v>
      </c>
      <c r="T467" s="5"/>
    </row>
    <row r="468" ht="43.2" spans="1:20">
      <c r="A468" s="65">
        <v>328</v>
      </c>
      <c r="B468" s="79" t="s">
        <v>28</v>
      </c>
      <c r="C468" s="79" t="s">
        <v>49</v>
      </c>
      <c r="D468" s="82" t="s">
        <v>57</v>
      </c>
      <c r="E468" s="171" t="s">
        <v>31</v>
      </c>
      <c r="F468" s="57" t="s">
        <v>683</v>
      </c>
      <c r="G468" s="83" t="s">
        <v>610</v>
      </c>
      <c r="H468" s="76">
        <v>46112</v>
      </c>
      <c r="I468" s="65">
        <v>0</v>
      </c>
      <c r="J468" s="82">
        <v>5325</v>
      </c>
      <c r="K468" s="70" t="s">
        <v>34</v>
      </c>
      <c r="L468" s="65">
        <v>0</v>
      </c>
      <c r="M468" s="82" t="s">
        <v>42</v>
      </c>
      <c r="N468" s="37">
        <f ca="1" t="shared" si="27"/>
        <v>4.66666666666667</v>
      </c>
      <c r="O468" s="71">
        <v>46266</v>
      </c>
      <c r="P468" s="65">
        <f t="shared" si="28"/>
        <v>5325</v>
      </c>
      <c r="Q468" s="66" t="s">
        <v>201</v>
      </c>
      <c r="R468" s="82" t="s">
        <v>684</v>
      </c>
      <c r="S468" s="58" t="s">
        <v>55</v>
      </c>
      <c r="T468" s="5"/>
    </row>
    <row r="469" ht="43.2" spans="1:20">
      <c r="A469" s="65">
        <v>331</v>
      </c>
      <c r="B469" s="79" t="s">
        <v>28</v>
      </c>
      <c r="C469" s="79" t="s">
        <v>49</v>
      </c>
      <c r="D469" s="82" t="s">
        <v>57</v>
      </c>
      <c r="E469" s="171" t="s">
        <v>31</v>
      </c>
      <c r="F469" s="57" t="s">
        <v>683</v>
      </c>
      <c r="G469" s="83" t="s">
        <v>610</v>
      </c>
      <c r="H469" s="76">
        <v>46112</v>
      </c>
      <c r="I469" s="65">
        <v>0</v>
      </c>
      <c r="J469" s="82">
        <v>10325</v>
      </c>
      <c r="K469" s="70" t="s">
        <v>34</v>
      </c>
      <c r="L469" s="65">
        <v>0</v>
      </c>
      <c r="M469" s="82" t="s">
        <v>42</v>
      </c>
      <c r="N469" s="37">
        <f ca="1" t="shared" si="27"/>
        <v>4.66666666666667</v>
      </c>
      <c r="O469" s="71">
        <v>46266</v>
      </c>
      <c r="P469" s="65">
        <f t="shared" si="28"/>
        <v>10325</v>
      </c>
      <c r="Q469" s="66" t="s">
        <v>201</v>
      </c>
      <c r="R469" s="82" t="s">
        <v>685</v>
      </c>
      <c r="S469" s="58" t="s">
        <v>55</v>
      </c>
      <c r="T469" s="5"/>
    </row>
    <row r="470" ht="43.2" spans="1:20">
      <c r="A470" s="65">
        <v>315</v>
      </c>
      <c r="B470" s="79" t="s">
        <v>28</v>
      </c>
      <c r="C470" s="79" t="s">
        <v>93</v>
      </c>
      <c r="D470" s="82" t="s">
        <v>413</v>
      </c>
      <c r="E470" s="171" t="s">
        <v>31</v>
      </c>
      <c r="F470" s="57" t="s">
        <v>568</v>
      </c>
      <c r="G470" s="114" t="s">
        <v>585</v>
      </c>
      <c r="H470" s="76">
        <v>46112</v>
      </c>
      <c r="I470" s="65">
        <v>0</v>
      </c>
      <c r="J470" s="82">
        <v>4700</v>
      </c>
      <c r="K470" s="70" t="s">
        <v>34</v>
      </c>
      <c r="L470" s="65">
        <v>0</v>
      </c>
      <c r="M470" s="82" t="s">
        <v>35</v>
      </c>
      <c r="N470" s="37">
        <f ca="1" t="shared" si="27"/>
        <v>4.66666666666667</v>
      </c>
      <c r="O470" s="70" t="s">
        <v>152</v>
      </c>
      <c r="P470" s="65">
        <f t="shared" si="28"/>
        <v>4700</v>
      </c>
      <c r="Q470" s="66" t="s">
        <v>53</v>
      </c>
      <c r="R470" s="82" t="s">
        <v>686</v>
      </c>
      <c r="S470" s="58"/>
      <c r="T470" s="5"/>
    </row>
    <row r="471" ht="57.6" spans="1:20">
      <c r="A471" s="65">
        <v>317</v>
      </c>
      <c r="B471" s="79" t="s">
        <v>28</v>
      </c>
      <c r="C471" s="79" t="s">
        <v>687</v>
      </c>
      <c r="D471" s="82" t="s">
        <v>57</v>
      </c>
      <c r="E471" s="171" t="s">
        <v>41</v>
      </c>
      <c r="F471" s="171" t="s">
        <v>41</v>
      </c>
      <c r="G471" s="172" t="s">
        <v>41</v>
      </c>
      <c r="H471" s="76">
        <v>46112</v>
      </c>
      <c r="I471" s="65">
        <v>0</v>
      </c>
      <c r="J471" s="82">
        <v>5325</v>
      </c>
      <c r="K471" s="70" t="s">
        <v>34</v>
      </c>
      <c r="L471" s="65">
        <v>0</v>
      </c>
      <c r="M471" s="82" t="s">
        <v>58</v>
      </c>
      <c r="N471" s="37">
        <f ca="1" t="shared" si="27"/>
        <v>4.66666666666667</v>
      </c>
      <c r="O471" s="71">
        <v>46266</v>
      </c>
      <c r="P471" s="65">
        <f t="shared" si="28"/>
        <v>5325</v>
      </c>
      <c r="Q471" s="57" t="s">
        <v>185</v>
      </c>
      <c r="R471" s="82" t="s">
        <v>688</v>
      </c>
      <c r="S471" s="58" t="s">
        <v>55</v>
      </c>
      <c r="T471" s="5"/>
    </row>
    <row r="472" ht="57.6" spans="1:20">
      <c r="A472" s="65">
        <v>324</v>
      </c>
      <c r="B472" s="66" t="s">
        <v>28</v>
      </c>
      <c r="C472" s="66" t="s">
        <v>689</v>
      </c>
      <c r="D472" s="65" t="s">
        <v>413</v>
      </c>
      <c r="E472" s="67" t="s">
        <v>31</v>
      </c>
      <c r="F472" s="65" t="s">
        <v>690</v>
      </c>
      <c r="G472" s="76" t="s">
        <v>691</v>
      </c>
      <c r="H472" s="76">
        <v>46112</v>
      </c>
      <c r="I472" s="65">
        <v>15000</v>
      </c>
      <c r="J472" s="65">
        <f>28600-I472</f>
        <v>13600</v>
      </c>
      <c r="K472" s="70" t="s">
        <v>34</v>
      </c>
      <c r="L472" s="65">
        <v>0</v>
      </c>
      <c r="M472" s="65" t="s">
        <v>35</v>
      </c>
      <c r="N472" s="37">
        <f ca="1" t="shared" si="27"/>
        <v>4.66666666666667</v>
      </c>
      <c r="O472" s="71">
        <v>46266</v>
      </c>
      <c r="P472" s="65">
        <f t="shared" si="28"/>
        <v>13600</v>
      </c>
      <c r="Q472" s="57" t="s">
        <v>145</v>
      </c>
      <c r="R472" s="65" t="s">
        <v>692</v>
      </c>
      <c r="S472" s="58" t="s">
        <v>55</v>
      </c>
      <c r="T472" s="78"/>
    </row>
    <row r="473" ht="43.2" spans="1:20">
      <c r="A473" s="65">
        <v>346</v>
      </c>
      <c r="B473" s="79" t="s">
        <v>28</v>
      </c>
      <c r="C473" s="79" t="s">
        <v>49</v>
      </c>
      <c r="D473" s="82" t="s">
        <v>413</v>
      </c>
      <c r="E473" s="171" t="s">
        <v>31</v>
      </c>
      <c r="F473" s="57" t="s">
        <v>241</v>
      </c>
      <c r="G473" s="83" t="s">
        <v>242</v>
      </c>
      <c r="H473" s="76">
        <v>46113</v>
      </c>
      <c r="I473" s="65">
        <v>0</v>
      </c>
      <c r="J473" s="82">
        <v>18685</v>
      </c>
      <c r="K473" s="70" t="s">
        <v>34</v>
      </c>
      <c r="L473" s="65">
        <v>0</v>
      </c>
      <c r="M473" s="82" t="s">
        <v>35</v>
      </c>
      <c r="N473" s="37">
        <f ca="1" t="shared" si="27"/>
        <v>4.63333333333333</v>
      </c>
      <c r="O473" s="71">
        <v>46266</v>
      </c>
      <c r="P473" s="65">
        <f t="shared" si="28"/>
        <v>18685</v>
      </c>
      <c r="Q473" s="66" t="s">
        <v>201</v>
      </c>
      <c r="R473" s="82" t="s">
        <v>693</v>
      </c>
      <c r="S473" s="58" t="s">
        <v>55</v>
      </c>
      <c r="T473" s="5"/>
    </row>
    <row r="474" ht="43.2" spans="1:20">
      <c r="A474" s="65">
        <v>598</v>
      </c>
      <c r="B474" s="79" t="s">
        <v>28</v>
      </c>
      <c r="C474" s="79" t="s">
        <v>49</v>
      </c>
      <c r="D474" s="79" t="s">
        <v>142</v>
      </c>
      <c r="E474" s="67" t="s">
        <v>31</v>
      </c>
      <c r="F474" s="67" t="s">
        <v>241</v>
      </c>
      <c r="G474" s="80" t="s">
        <v>290</v>
      </c>
      <c r="H474" s="76">
        <v>46113</v>
      </c>
      <c r="I474" s="65"/>
      <c r="J474" s="82">
        <v>11313</v>
      </c>
      <c r="K474" s="70"/>
      <c r="L474" s="65"/>
      <c r="M474" s="82" t="s">
        <v>42</v>
      </c>
      <c r="N474" s="37">
        <f ca="1" t="shared" si="27"/>
        <v>4.63333333333333</v>
      </c>
      <c r="O474" s="57" t="s">
        <v>52</v>
      </c>
      <c r="P474" s="65">
        <v>11313</v>
      </c>
      <c r="Q474" s="66" t="s">
        <v>53</v>
      </c>
      <c r="R474" s="82" t="s">
        <v>694</v>
      </c>
      <c r="S474" s="5"/>
    </row>
    <row r="475" ht="43.2" spans="1:20">
      <c r="A475" s="65">
        <v>609</v>
      </c>
      <c r="B475" s="66" t="s">
        <v>28</v>
      </c>
      <c r="C475" s="79" t="s">
        <v>49</v>
      </c>
      <c r="D475" s="79" t="s">
        <v>142</v>
      </c>
      <c r="E475" s="67" t="s">
        <v>31</v>
      </c>
      <c r="F475" s="67" t="s">
        <v>241</v>
      </c>
      <c r="G475" s="80" t="s">
        <v>290</v>
      </c>
      <c r="H475" s="76">
        <v>46113</v>
      </c>
      <c r="I475" s="65"/>
      <c r="J475" s="82">
        <v>16736</v>
      </c>
      <c r="K475" s="70"/>
      <c r="L475" s="65"/>
      <c r="M475" s="82" t="s">
        <v>35</v>
      </c>
      <c r="N475" s="37">
        <f ca="1" t="shared" si="27"/>
        <v>4.63333333333333</v>
      </c>
      <c r="O475" s="57" t="s">
        <v>52</v>
      </c>
      <c r="P475" s="65">
        <v>16736</v>
      </c>
      <c r="Q475" s="66" t="s">
        <v>53</v>
      </c>
      <c r="R475" s="82" t="s">
        <v>695</v>
      </c>
      <c r="S475" s="5"/>
    </row>
    <row r="476" ht="43.2" spans="1:20">
      <c r="A476" s="65">
        <v>316</v>
      </c>
      <c r="B476" s="79" t="s">
        <v>28</v>
      </c>
      <c r="C476" s="79" t="s">
        <v>93</v>
      </c>
      <c r="D476" s="82" t="s">
        <v>413</v>
      </c>
      <c r="E476" s="171" t="s">
        <v>31</v>
      </c>
      <c r="F476" s="57" t="s">
        <v>568</v>
      </c>
      <c r="G476" s="114" t="s">
        <v>585</v>
      </c>
      <c r="H476" s="76">
        <v>46113</v>
      </c>
      <c r="I476" s="65">
        <v>0</v>
      </c>
      <c r="J476" s="82">
        <v>3948</v>
      </c>
      <c r="K476" s="70" t="s">
        <v>34</v>
      </c>
      <c r="L476" s="65">
        <v>0</v>
      </c>
      <c r="M476" s="82" t="s">
        <v>42</v>
      </c>
      <c r="N476" s="37">
        <f ca="1" t="shared" si="27"/>
        <v>4.63333333333333</v>
      </c>
      <c r="O476" s="70" t="s">
        <v>152</v>
      </c>
      <c r="P476" s="65">
        <f>J476</f>
        <v>3948</v>
      </c>
      <c r="Q476" s="66" t="s">
        <v>53</v>
      </c>
      <c r="R476" s="82" t="s">
        <v>696</v>
      </c>
      <c r="S476" s="58"/>
      <c r="T476" s="5"/>
    </row>
    <row r="477" ht="43.2" spans="1:20">
      <c r="A477" s="65">
        <v>329</v>
      </c>
      <c r="B477" s="79" t="s">
        <v>28</v>
      </c>
      <c r="C477" s="79" t="s">
        <v>456</v>
      </c>
      <c r="D477" s="98" t="s">
        <v>697</v>
      </c>
      <c r="E477" s="171" t="s">
        <v>41</v>
      </c>
      <c r="F477" s="171" t="s">
        <v>41</v>
      </c>
      <c r="G477" s="172" t="s">
        <v>41</v>
      </c>
      <c r="H477" s="76">
        <v>46114</v>
      </c>
      <c r="I477" s="65">
        <v>0</v>
      </c>
      <c r="J477" s="82">
        <v>2454</v>
      </c>
      <c r="K477" s="70" t="s">
        <v>34</v>
      </c>
      <c r="L477" s="65">
        <v>0</v>
      </c>
      <c r="M477" s="82" t="s">
        <v>47</v>
      </c>
      <c r="N477" s="37">
        <f ca="1" t="shared" si="27"/>
        <v>4.6</v>
      </c>
      <c r="O477" s="57" t="s">
        <v>52</v>
      </c>
      <c r="P477" s="65">
        <f>J477</f>
        <v>2454</v>
      </c>
      <c r="Q477" s="66" t="s">
        <v>53</v>
      </c>
      <c r="R477" s="82" t="s">
        <v>698</v>
      </c>
      <c r="S477" s="58" t="s">
        <v>55</v>
      </c>
      <c r="T477" s="5"/>
    </row>
    <row r="478" ht="43.2" spans="1:20">
      <c r="A478" s="65">
        <v>590</v>
      </c>
      <c r="B478" s="79" t="s">
        <v>28</v>
      </c>
      <c r="C478" s="79" t="s">
        <v>49</v>
      </c>
      <c r="D478" s="79" t="s">
        <v>142</v>
      </c>
      <c r="E478" s="67" t="s">
        <v>31</v>
      </c>
      <c r="F478" s="67" t="s">
        <v>241</v>
      </c>
      <c r="G478" s="80" t="s">
        <v>290</v>
      </c>
      <c r="H478" s="76">
        <v>46114</v>
      </c>
      <c r="I478" s="65"/>
      <c r="J478" s="82">
        <v>30083</v>
      </c>
      <c r="K478" s="70"/>
      <c r="L478" s="65"/>
      <c r="M478" s="82" t="s">
        <v>79</v>
      </c>
      <c r="N478" s="37">
        <f ca="1" t="shared" si="27"/>
        <v>4.6</v>
      </c>
      <c r="O478" s="57" t="s">
        <v>52</v>
      </c>
      <c r="P478" s="65">
        <v>30083</v>
      </c>
      <c r="Q478" s="66" t="s">
        <v>53</v>
      </c>
      <c r="R478" s="82" t="s">
        <v>699</v>
      </c>
      <c r="S478" s="5"/>
    </row>
    <row r="479" ht="43.2" spans="1:20">
      <c r="A479" s="65">
        <v>593</v>
      </c>
      <c r="B479" s="66" t="s">
        <v>28</v>
      </c>
      <c r="C479" s="79" t="s">
        <v>49</v>
      </c>
      <c r="D479" s="79" t="s">
        <v>142</v>
      </c>
      <c r="E479" s="67" t="s">
        <v>31</v>
      </c>
      <c r="F479" s="67" t="s">
        <v>241</v>
      </c>
      <c r="G479" s="80" t="s">
        <v>290</v>
      </c>
      <c r="H479" s="76">
        <v>46114</v>
      </c>
      <c r="I479" s="65"/>
      <c r="J479" s="82">
        <v>16270</v>
      </c>
      <c r="K479" s="70"/>
      <c r="L479" s="65"/>
      <c r="M479" s="82" t="s">
        <v>58</v>
      </c>
      <c r="N479" s="37">
        <f ca="1" t="shared" si="27"/>
        <v>4.6</v>
      </c>
      <c r="O479" s="57" t="s">
        <v>52</v>
      </c>
      <c r="P479" s="65">
        <v>16270</v>
      </c>
      <c r="Q479" s="66" t="s">
        <v>53</v>
      </c>
      <c r="R479" s="82" t="s">
        <v>700</v>
      </c>
      <c r="S479" s="5"/>
    </row>
    <row r="480" ht="43.2" spans="1:20">
      <c r="A480" s="65">
        <v>333</v>
      </c>
      <c r="B480" s="79" t="s">
        <v>28</v>
      </c>
      <c r="C480" s="79" t="s">
        <v>701</v>
      </c>
      <c r="D480" s="82" t="s">
        <v>57</v>
      </c>
      <c r="E480" s="171" t="s">
        <v>41</v>
      </c>
      <c r="F480" s="171" t="s">
        <v>41</v>
      </c>
      <c r="G480" s="172" t="s">
        <v>41</v>
      </c>
      <c r="H480" s="76">
        <v>46115</v>
      </c>
      <c r="I480" s="65">
        <v>0</v>
      </c>
      <c r="J480" s="82">
        <v>5325</v>
      </c>
      <c r="K480" s="70" t="s">
        <v>83</v>
      </c>
      <c r="L480" s="65">
        <v>5325</v>
      </c>
      <c r="M480" s="82" t="s">
        <v>35</v>
      </c>
      <c r="N480" s="37">
        <f ca="1" t="shared" si="27"/>
        <v>4.56666666666667</v>
      </c>
      <c r="O480" s="71">
        <v>46204</v>
      </c>
      <c r="P480" s="65">
        <f>J480</f>
        <v>5325</v>
      </c>
      <c r="Q480" s="66" t="s">
        <v>53</v>
      </c>
      <c r="R480" s="82" t="s">
        <v>702</v>
      </c>
      <c r="S480" s="58" t="s">
        <v>55</v>
      </c>
      <c r="T480" s="5"/>
    </row>
    <row r="481" ht="43.2" spans="1:20">
      <c r="A481" s="65">
        <v>603</v>
      </c>
      <c r="B481" s="79" t="s">
        <v>28</v>
      </c>
      <c r="C481" s="79" t="s">
        <v>49</v>
      </c>
      <c r="D481" s="79" t="s">
        <v>142</v>
      </c>
      <c r="E481" s="67" t="s">
        <v>31</v>
      </c>
      <c r="F481" s="67" t="s">
        <v>241</v>
      </c>
      <c r="G481" s="80" t="s">
        <v>290</v>
      </c>
      <c r="H481" s="76">
        <v>46115</v>
      </c>
      <c r="I481" s="65"/>
      <c r="J481" s="82">
        <v>205113</v>
      </c>
      <c r="K481" s="70"/>
      <c r="L481" s="65"/>
      <c r="M481" s="82" t="s">
        <v>47</v>
      </c>
      <c r="N481" s="37">
        <f ca="1" t="shared" si="27"/>
        <v>4.56666666666667</v>
      </c>
      <c r="O481" s="57" t="s">
        <v>52</v>
      </c>
      <c r="P481" s="82">
        <v>205113</v>
      </c>
      <c r="Q481" s="66" t="s">
        <v>53</v>
      </c>
      <c r="R481" s="82" t="s">
        <v>703</v>
      </c>
      <c r="S481" s="5"/>
    </row>
    <row r="482" ht="43.2" spans="1:20">
      <c r="A482" s="65">
        <v>605</v>
      </c>
      <c r="B482" s="79" t="s">
        <v>28</v>
      </c>
      <c r="C482" s="79" t="s">
        <v>49</v>
      </c>
      <c r="D482" s="79" t="s">
        <v>142</v>
      </c>
      <c r="E482" s="67" t="s">
        <v>31</v>
      </c>
      <c r="F482" s="67" t="s">
        <v>241</v>
      </c>
      <c r="G482" s="80" t="s">
        <v>290</v>
      </c>
      <c r="H482" s="76">
        <v>46115</v>
      </c>
      <c r="I482" s="65"/>
      <c r="J482" s="82">
        <v>144355</v>
      </c>
      <c r="K482" s="70"/>
      <c r="L482" s="65"/>
      <c r="M482" s="82" t="s">
        <v>42</v>
      </c>
      <c r="N482" s="37">
        <f ca="1" t="shared" si="27"/>
        <v>4.56666666666667</v>
      </c>
      <c r="O482" s="57" t="s">
        <v>52</v>
      </c>
      <c r="P482" s="65">
        <v>144355</v>
      </c>
      <c r="Q482" s="66" t="s">
        <v>53</v>
      </c>
      <c r="R482" s="82" t="s">
        <v>704</v>
      </c>
      <c r="S482" s="5"/>
    </row>
    <row r="483" ht="43.2" spans="1:20">
      <c r="A483" s="65">
        <v>610</v>
      </c>
      <c r="B483" s="79" t="s">
        <v>28</v>
      </c>
      <c r="C483" s="79" t="s">
        <v>49</v>
      </c>
      <c r="D483" s="79" t="s">
        <v>142</v>
      </c>
      <c r="E483" s="67" t="s">
        <v>31</v>
      </c>
      <c r="F483" s="67" t="s">
        <v>241</v>
      </c>
      <c r="G483" s="80" t="s">
        <v>290</v>
      </c>
      <c r="H483" s="76">
        <v>46115</v>
      </c>
      <c r="I483" s="65"/>
      <c r="J483" s="82">
        <v>22032</v>
      </c>
      <c r="K483" s="70"/>
      <c r="L483" s="65"/>
      <c r="M483" s="82" t="s">
        <v>42</v>
      </c>
      <c r="N483" s="37">
        <f ca="1" t="shared" si="27"/>
        <v>4.56666666666667</v>
      </c>
      <c r="O483" s="57" t="s">
        <v>52</v>
      </c>
      <c r="P483" s="65">
        <v>22032</v>
      </c>
      <c r="Q483" s="57" t="s">
        <v>52</v>
      </c>
      <c r="R483" s="82" t="s">
        <v>705</v>
      </c>
      <c r="S483" s="5"/>
    </row>
    <row r="484" ht="43.2" spans="1:20">
      <c r="A484" s="65">
        <v>612</v>
      </c>
      <c r="B484" s="66" t="s">
        <v>28</v>
      </c>
      <c r="C484" s="79" t="s">
        <v>49</v>
      </c>
      <c r="D484" s="79" t="s">
        <v>142</v>
      </c>
      <c r="E484" s="67" t="s">
        <v>31</v>
      </c>
      <c r="F484" s="67" t="s">
        <v>241</v>
      </c>
      <c r="G484" s="80" t="s">
        <v>290</v>
      </c>
      <c r="H484" s="76">
        <v>46115</v>
      </c>
      <c r="I484" s="65"/>
      <c r="J484" s="82">
        <v>48471</v>
      </c>
      <c r="K484" s="70"/>
      <c r="L484" s="65"/>
      <c r="M484" s="82" t="s">
        <v>47</v>
      </c>
      <c r="N484" s="37">
        <f ca="1" t="shared" si="27"/>
        <v>4.56666666666667</v>
      </c>
      <c r="O484" s="57" t="s">
        <v>52</v>
      </c>
      <c r="P484" s="65">
        <v>48471</v>
      </c>
      <c r="Q484" s="66" t="s">
        <v>53</v>
      </c>
      <c r="R484" s="82" t="s">
        <v>706</v>
      </c>
      <c r="S484" s="5"/>
    </row>
    <row r="485" ht="43.2" spans="1:20">
      <c r="A485" s="65">
        <v>321</v>
      </c>
      <c r="B485" s="79" t="s">
        <v>28</v>
      </c>
      <c r="C485" s="79" t="s">
        <v>701</v>
      </c>
      <c r="D485" s="82" t="s">
        <v>57</v>
      </c>
      <c r="E485" s="171" t="s">
        <v>41</v>
      </c>
      <c r="F485" s="171" t="s">
        <v>41</v>
      </c>
      <c r="G485" s="172" t="s">
        <v>41</v>
      </c>
      <c r="H485" s="76">
        <v>46119</v>
      </c>
      <c r="I485" s="65">
        <v>0</v>
      </c>
      <c r="J485" s="82">
        <v>5325</v>
      </c>
      <c r="K485" s="70" t="s">
        <v>83</v>
      </c>
      <c r="L485" s="65">
        <v>5325</v>
      </c>
      <c r="M485" s="82" t="s">
        <v>79</v>
      </c>
      <c r="N485" s="37">
        <f ca="1" t="shared" si="27"/>
        <v>4.43333333333333</v>
      </c>
      <c r="O485" s="71">
        <v>46204</v>
      </c>
      <c r="P485" s="65">
        <f>J485</f>
        <v>5325</v>
      </c>
      <c r="Q485" s="66" t="s">
        <v>707</v>
      </c>
      <c r="R485" s="82" t="s">
        <v>708</v>
      </c>
      <c r="S485" s="58" t="s">
        <v>55</v>
      </c>
      <c r="T485" s="5"/>
    </row>
    <row r="486" ht="43.2" spans="1:20">
      <c r="A486" s="65">
        <v>338</v>
      </c>
      <c r="B486" s="79" t="s">
        <v>28</v>
      </c>
      <c r="C486" s="79" t="s">
        <v>701</v>
      </c>
      <c r="D486" s="82" t="s">
        <v>57</v>
      </c>
      <c r="E486" s="171" t="s">
        <v>41</v>
      </c>
      <c r="F486" s="171" t="s">
        <v>41</v>
      </c>
      <c r="G486" s="172" t="s">
        <v>41</v>
      </c>
      <c r="H486" s="76">
        <v>46119</v>
      </c>
      <c r="I486" s="65">
        <v>0</v>
      </c>
      <c r="J486" s="82">
        <v>15975</v>
      </c>
      <c r="K486" s="70" t="s">
        <v>83</v>
      </c>
      <c r="L486" s="65">
        <v>15975</v>
      </c>
      <c r="M486" s="82" t="s">
        <v>35</v>
      </c>
      <c r="N486" s="37">
        <f ca="1" t="shared" si="27"/>
        <v>4.43333333333333</v>
      </c>
      <c r="O486" s="71">
        <v>46204</v>
      </c>
      <c r="P486" s="65">
        <f>J486</f>
        <v>15975</v>
      </c>
      <c r="Q486" s="66" t="s">
        <v>707</v>
      </c>
      <c r="R486" s="82" t="s">
        <v>709</v>
      </c>
      <c r="S486" s="58" t="s">
        <v>55</v>
      </c>
      <c r="T486" s="5"/>
    </row>
    <row r="487" ht="43.2" spans="1:20">
      <c r="A487" s="65">
        <v>599</v>
      </c>
      <c r="B487" s="66" t="s">
        <v>28</v>
      </c>
      <c r="C487" s="79" t="s">
        <v>49</v>
      </c>
      <c r="D487" s="79" t="s">
        <v>142</v>
      </c>
      <c r="E487" s="67" t="s">
        <v>31</v>
      </c>
      <c r="F487" s="67" t="s">
        <v>241</v>
      </c>
      <c r="G487" s="80" t="s">
        <v>290</v>
      </c>
      <c r="H487" s="76">
        <v>46119</v>
      </c>
      <c r="I487" s="65"/>
      <c r="J487" s="82">
        <v>21185</v>
      </c>
      <c r="K487" s="70"/>
      <c r="L487" s="65"/>
      <c r="M487" s="82" t="s">
        <v>42</v>
      </c>
      <c r="N487" s="37">
        <f ca="1" t="shared" si="27"/>
        <v>4.43333333333333</v>
      </c>
      <c r="O487" s="57" t="s">
        <v>52</v>
      </c>
      <c r="P487" s="65">
        <v>21185</v>
      </c>
      <c r="Q487" s="57" t="s">
        <v>52</v>
      </c>
      <c r="R487" s="82" t="s">
        <v>710</v>
      </c>
      <c r="S487" s="5"/>
    </row>
    <row r="488" ht="43.2" spans="1:20">
      <c r="A488" s="65">
        <v>313</v>
      </c>
      <c r="B488" s="79" t="s">
        <v>28</v>
      </c>
      <c r="C488" s="79" t="s">
        <v>93</v>
      </c>
      <c r="D488" s="82" t="s">
        <v>413</v>
      </c>
      <c r="E488" s="171" t="s">
        <v>31</v>
      </c>
      <c r="F488" s="57" t="s">
        <v>568</v>
      </c>
      <c r="G488" s="114" t="s">
        <v>585</v>
      </c>
      <c r="H488" s="76">
        <v>46119</v>
      </c>
      <c r="I488" s="65">
        <v>0</v>
      </c>
      <c r="J488" s="82">
        <v>22936</v>
      </c>
      <c r="K488" s="70" t="s">
        <v>34</v>
      </c>
      <c r="L488" s="65">
        <v>0</v>
      </c>
      <c r="M488" s="82" t="s">
        <v>47</v>
      </c>
      <c r="N488" s="37">
        <f ca="1" t="shared" si="27"/>
        <v>4.43333333333333</v>
      </c>
      <c r="O488" s="70" t="s">
        <v>152</v>
      </c>
      <c r="P488" s="65">
        <f>J488</f>
        <v>22936</v>
      </c>
      <c r="Q488" s="66" t="s">
        <v>53</v>
      </c>
      <c r="R488" s="82" t="s">
        <v>711</v>
      </c>
      <c r="S488" s="58"/>
      <c r="T488" s="5"/>
    </row>
    <row r="489" ht="43.2" spans="1:20">
      <c r="A489" s="65">
        <v>332</v>
      </c>
      <c r="B489" s="79" t="s">
        <v>28</v>
      </c>
      <c r="C489" s="79" t="s">
        <v>93</v>
      </c>
      <c r="D489" s="82" t="s">
        <v>413</v>
      </c>
      <c r="E489" s="171" t="s">
        <v>31</v>
      </c>
      <c r="F489" s="57" t="s">
        <v>568</v>
      </c>
      <c r="G489" s="114" t="s">
        <v>585</v>
      </c>
      <c r="H489" s="76">
        <v>46119</v>
      </c>
      <c r="I489" s="65">
        <v>0</v>
      </c>
      <c r="J489" s="82">
        <v>3149</v>
      </c>
      <c r="K489" s="70" t="s">
        <v>34</v>
      </c>
      <c r="L489" s="65">
        <v>0</v>
      </c>
      <c r="M489" s="82" t="s">
        <v>79</v>
      </c>
      <c r="N489" s="37">
        <f ca="1" t="shared" si="27"/>
        <v>4.43333333333333</v>
      </c>
      <c r="O489" s="70" t="s">
        <v>152</v>
      </c>
      <c r="P489" s="65">
        <f>J489</f>
        <v>3149</v>
      </c>
      <c r="Q489" s="66" t="s">
        <v>53</v>
      </c>
      <c r="R489" s="82" t="s">
        <v>712</v>
      </c>
      <c r="S489" s="58"/>
      <c r="T489" s="5"/>
    </row>
    <row r="490" ht="43.2" spans="1:20">
      <c r="A490" s="65">
        <v>312</v>
      </c>
      <c r="B490" s="79" t="s">
        <v>28</v>
      </c>
      <c r="C490" s="79" t="s">
        <v>49</v>
      </c>
      <c r="D490" s="82" t="s">
        <v>57</v>
      </c>
      <c r="E490" s="171" t="s">
        <v>31</v>
      </c>
      <c r="F490" s="57" t="s">
        <v>454</v>
      </c>
      <c r="G490" s="83" t="s">
        <v>346</v>
      </c>
      <c r="H490" s="76">
        <v>46120</v>
      </c>
      <c r="I490" s="65">
        <v>0</v>
      </c>
      <c r="J490" s="82">
        <v>7000</v>
      </c>
      <c r="K490" s="70" t="s">
        <v>34</v>
      </c>
      <c r="L490" s="65">
        <v>0</v>
      </c>
      <c r="M490" s="82" t="s">
        <v>47</v>
      </c>
      <c r="N490" s="37">
        <f ca="1" t="shared" si="27"/>
        <v>4.4</v>
      </c>
      <c r="O490" s="71">
        <v>46266</v>
      </c>
      <c r="P490" s="65">
        <f>J490</f>
        <v>7000</v>
      </c>
      <c r="Q490" s="66" t="s">
        <v>201</v>
      </c>
      <c r="R490" s="82" t="s">
        <v>713</v>
      </c>
      <c r="S490" s="58" t="s">
        <v>55</v>
      </c>
      <c r="T490" s="5"/>
    </row>
    <row r="491" ht="43.2" spans="1:20">
      <c r="A491" s="65">
        <v>318</v>
      </c>
      <c r="B491" s="79" t="s">
        <v>28</v>
      </c>
      <c r="C491" s="79" t="s">
        <v>49</v>
      </c>
      <c r="D491" s="82" t="s">
        <v>57</v>
      </c>
      <c r="E491" s="171" t="s">
        <v>31</v>
      </c>
      <c r="F491" s="57" t="s">
        <v>454</v>
      </c>
      <c r="G491" s="83" t="s">
        <v>346</v>
      </c>
      <c r="H491" s="76">
        <v>46120</v>
      </c>
      <c r="I491" s="65">
        <v>0</v>
      </c>
      <c r="J491" s="82">
        <v>7000</v>
      </c>
      <c r="K491" s="70" t="s">
        <v>34</v>
      </c>
      <c r="L491" s="65">
        <v>0</v>
      </c>
      <c r="M491" s="82" t="s">
        <v>47</v>
      </c>
      <c r="N491" s="37">
        <f ca="1" t="shared" si="27"/>
        <v>4.4</v>
      </c>
      <c r="O491" s="71">
        <v>46266</v>
      </c>
      <c r="P491" s="65">
        <f>J491</f>
        <v>7000</v>
      </c>
      <c r="Q491" s="66" t="s">
        <v>201</v>
      </c>
      <c r="R491" s="82" t="s">
        <v>714</v>
      </c>
      <c r="S491" s="58" t="s">
        <v>55</v>
      </c>
      <c r="T491" s="5"/>
    </row>
    <row r="492" ht="43.2" spans="1:20">
      <c r="A492" s="65">
        <v>606</v>
      </c>
      <c r="B492" s="79" t="s">
        <v>28</v>
      </c>
      <c r="C492" s="79" t="s">
        <v>49</v>
      </c>
      <c r="D492" s="79" t="s">
        <v>142</v>
      </c>
      <c r="E492" s="67" t="s">
        <v>31</v>
      </c>
      <c r="F492" s="67" t="s">
        <v>241</v>
      </c>
      <c r="G492" s="80" t="s">
        <v>290</v>
      </c>
      <c r="H492" s="76">
        <v>46120</v>
      </c>
      <c r="I492" s="65"/>
      <c r="J492" s="82">
        <v>97451</v>
      </c>
      <c r="K492" s="70"/>
      <c r="L492" s="65"/>
      <c r="M492" s="82" t="s">
        <v>79</v>
      </c>
      <c r="N492" s="37">
        <f ca="1" t="shared" si="27"/>
        <v>4.4</v>
      </c>
      <c r="O492" s="57" t="s">
        <v>52</v>
      </c>
      <c r="P492" s="65">
        <v>97451</v>
      </c>
      <c r="Q492" s="57" t="s">
        <v>52</v>
      </c>
      <c r="R492" s="82" t="s">
        <v>715</v>
      </c>
      <c r="S492" s="5"/>
    </row>
    <row r="493" ht="43.2" spans="1:20">
      <c r="A493" s="65">
        <v>607</v>
      </c>
      <c r="B493" s="66" t="s">
        <v>28</v>
      </c>
      <c r="C493" s="79" t="s">
        <v>49</v>
      </c>
      <c r="D493" s="79" t="s">
        <v>142</v>
      </c>
      <c r="E493" s="67" t="s">
        <v>31</v>
      </c>
      <c r="F493" s="67" t="s">
        <v>241</v>
      </c>
      <c r="G493" s="80" t="s">
        <v>290</v>
      </c>
      <c r="H493" s="76">
        <v>46120</v>
      </c>
      <c r="I493" s="65"/>
      <c r="J493" s="82">
        <v>153803</v>
      </c>
      <c r="K493" s="70"/>
      <c r="L493" s="65"/>
      <c r="M493" s="82" t="s">
        <v>79</v>
      </c>
      <c r="N493" s="37">
        <f ca="1" t="shared" si="27"/>
        <v>4.4</v>
      </c>
      <c r="O493" s="57" t="s">
        <v>52</v>
      </c>
      <c r="P493" s="65">
        <v>153803</v>
      </c>
      <c r="Q493" s="57" t="s">
        <v>52</v>
      </c>
      <c r="R493" s="82" t="s">
        <v>715</v>
      </c>
      <c r="S493" s="5"/>
    </row>
    <row r="494" ht="43.2" spans="1:20">
      <c r="A494" s="65">
        <v>345</v>
      </c>
      <c r="B494" s="79" t="s">
        <v>28</v>
      </c>
      <c r="C494" s="79" t="s">
        <v>29</v>
      </c>
      <c r="D494" s="82" t="s">
        <v>57</v>
      </c>
      <c r="E494" s="67" t="s">
        <v>31</v>
      </c>
      <c r="F494" s="57" t="s">
        <v>716</v>
      </c>
      <c r="G494" s="177" t="s">
        <v>41</v>
      </c>
      <c r="H494" s="76">
        <v>46120</v>
      </c>
      <c r="I494" s="65">
        <v>0</v>
      </c>
      <c r="J494" s="82">
        <v>13820</v>
      </c>
      <c r="K494" s="70" t="s">
        <v>34</v>
      </c>
      <c r="L494" s="65">
        <v>0</v>
      </c>
      <c r="M494" s="82" t="s">
        <v>42</v>
      </c>
      <c r="N494" s="37">
        <f ca="1" t="shared" si="27"/>
        <v>4.4</v>
      </c>
      <c r="O494" s="70" t="s">
        <v>179</v>
      </c>
      <c r="P494" s="65">
        <f>J494</f>
        <v>13820</v>
      </c>
      <c r="Q494" s="66" t="s">
        <v>180</v>
      </c>
      <c r="R494" s="82" t="s">
        <v>717</v>
      </c>
      <c r="S494" s="58" t="s">
        <v>55</v>
      </c>
      <c r="T494" s="5"/>
    </row>
    <row r="495" ht="43.2" spans="1:20">
      <c r="A495" s="65">
        <v>594</v>
      </c>
      <c r="B495" s="79" t="s">
        <v>28</v>
      </c>
      <c r="C495" s="79" t="s">
        <v>49</v>
      </c>
      <c r="D495" s="79" t="s">
        <v>142</v>
      </c>
      <c r="E495" s="67" t="s">
        <v>31</v>
      </c>
      <c r="F495" s="67" t="s">
        <v>241</v>
      </c>
      <c r="G495" s="80" t="s">
        <v>290</v>
      </c>
      <c r="H495" s="76">
        <v>46125</v>
      </c>
      <c r="I495" s="65"/>
      <c r="J495" s="82">
        <v>78385</v>
      </c>
      <c r="K495" s="70"/>
      <c r="L495" s="65"/>
      <c r="M495" s="82" t="s">
        <v>79</v>
      </c>
      <c r="N495" s="37">
        <f ca="1" t="shared" si="27"/>
        <v>4.23333333333333</v>
      </c>
      <c r="O495" s="57" t="s">
        <v>52</v>
      </c>
      <c r="P495" s="65">
        <v>78385</v>
      </c>
      <c r="Q495" s="57" t="s">
        <v>52</v>
      </c>
      <c r="R495" s="82" t="s">
        <v>718</v>
      </c>
      <c r="S495" s="5"/>
    </row>
    <row r="496" ht="43.2" spans="1:20">
      <c r="A496" s="65">
        <v>600</v>
      </c>
      <c r="B496" s="79" t="s">
        <v>28</v>
      </c>
      <c r="C496" s="79" t="s">
        <v>49</v>
      </c>
      <c r="D496" s="79" t="s">
        <v>142</v>
      </c>
      <c r="E496" s="67" t="s">
        <v>31</v>
      </c>
      <c r="F496" s="67" t="s">
        <v>241</v>
      </c>
      <c r="G496" s="80" t="s">
        <v>290</v>
      </c>
      <c r="H496" s="76">
        <v>46125</v>
      </c>
      <c r="I496" s="65"/>
      <c r="J496" s="82">
        <v>16355</v>
      </c>
      <c r="K496" s="70"/>
      <c r="L496" s="65"/>
      <c r="M496" s="82" t="s">
        <v>79</v>
      </c>
      <c r="N496" s="37">
        <f ca="1" t="shared" si="27"/>
        <v>4.23333333333333</v>
      </c>
      <c r="O496" s="57" t="s">
        <v>52</v>
      </c>
      <c r="P496" s="65">
        <v>16355</v>
      </c>
      <c r="Q496" s="57" t="s">
        <v>52</v>
      </c>
      <c r="R496" s="82" t="s">
        <v>719</v>
      </c>
      <c r="S496" s="5"/>
    </row>
    <row r="497" ht="43.2" spans="1:20">
      <c r="A497" s="65">
        <v>601</v>
      </c>
      <c r="B497" s="66" t="s">
        <v>28</v>
      </c>
      <c r="C497" s="79" t="s">
        <v>49</v>
      </c>
      <c r="D497" s="79" t="s">
        <v>142</v>
      </c>
      <c r="E497" s="67" t="s">
        <v>31</v>
      </c>
      <c r="F497" s="67" t="s">
        <v>241</v>
      </c>
      <c r="G497" s="80" t="s">
        <v>290</v>
      </c>
      <c r="H497" s="76">
        <v>46125</v>
      </c>
      <c r="I497" s="65"/>
      <c r="J497" s="82">
        <v>21609</v>
      </c>
      <c r="K497" s="70"/>
      <c r="L497" s="65"/>
      <c r="M497" s="82" t="s">
        <v>58</v>
      </c>
      <c r="N497" s="37">
        <f ca="1" t="shared" si="27"/>
        <v>4.23333333333333</v>
      </c>
      <c r="O497" s="57" t="s">
        <v>52</v>
      </c>
      <c r="P497" s="65">
        <v>21609</v>
      </c>
      <c r="Q497" s="57" t="s">
        <v>52</v>
      </c>
      <c r="R497" s="82" t="s">
        <v>720</v>
      </c>
      <c r="S497" s="5"/>
    </row>
    <row r="498" ht="43.2" spans="1:20">
      <c r="A498" s="65">
        <v>602</v>
      </c>
      <c r="B498" s="79" t="s">
        <v>28</v>
      </c>
      <c r="C498" s="79" t="s">
        <v>49</v>
      </c>
      <c r="D498" s="79" t="s">
        <v>142</v>
      </c>
      <c r="E498" s="67" t="s">
        <v>31</v>
      </c>
      <c r="F498" s="67" t="s">
        <v>241</v>
      </c>
      <c r="G498" s="80" t="s">
        <v>290</v>
      </c>
      <c r="H498" s="76">
        <v>46125</v>
      </c>
      <c r="I498" s="65"/>
      <c r="J498" s="82">
        <v>27202</v>
      </c>
      <c r="K498" s="70"/>
      <c r="L498" s="65"/>
      <c r="M498" s="82" t="s">
        <v>42</v>
      </c>
      <c r="N498" s="37">
        <f ca="1" t="shared" si="27"/>
        <v>4.23333333333333</v>
      </c>
      <c r="O498" s="57" t="s">
        <v>52</v>
      </c>
      <c r="P498" s="65">
        <v>27202</v>
      </c>
      <c r="Q498" s="57" t="s">
        <v>52</v>
      </c>
      <c r="R498" s="82" t="s">
        <v>721</v>
      </c>
      <c r="S498" s="5"/>
    </row>
    <row r="499" ht="43.2" spans="1:20">
      <c r="A499" s="65">
        <v>613</v>
      </c>
      <c r="B499" s="79" t="s">
        <v>28</v>
      </c>
      <c r="C499" s="79" t="s">
        <v>49</v>
      </c>
      <c r="D499" s="79" t="s">
        <v>142</v>
      </c>
      <c r="E499" s="67" t="s">
        <v>31</v>
      </c>
      <c r="F499" s="67" t="s">
        <v>241</v>
      </c>
      <c r="G499" s="80" t="s">
        <v>290</v>
      </c>
      <c r="H499" s="76">
        <v>46125</v>
      </c>
      <c r="I499" s="65"/>
      <c r="J499" s="82">
        <v>7203</v>
      </c>
      <c r="K499" s="70"/>
      <c r="L499" s="65"/>
      <c r="M499" s="82" t="s">
        <v>47</v>
      </c>
      <c r="N499" s="37">
        <f ca="1" t="shared" si="27"/>
        <v>4.23333333333333</v>
      </c>
      <c r="O499" s="57" t="s">
        <v>52</v>
      </c>
      <c r="P499" s="65">
        <v>7203</v>
      </c>
      <c r="Q499" s="57" t="s">
        <v>52</v>
      </c>
      <c r="R499" s="82" t="s">
        <v>722</v>
      </c>
      <c r="S499" s="5"/>
    </row>
    <row r="500" ht="43.2" spans="1:20">
      <c r="A500" s="65">
        <v>614</v>
      </c>
      <c r="B500" s="79" t="s">
        <v>28</v>
      </c>
      <c r="C500" s="79" t="s">
        <v>49</v>
      </c>
      <c r="D500" s="79" t="s">
        <v>142</v>
      </c>
      <c r="E500" s="67" t="s">
        <v>31</v>
      </c>
      <c r="F500" s="67" t="s">
        <v>241</v>
      </c>
      <c r="G500" s="80" t="s">
        <v>290</v>
      </c>
      <c r="H500" s="76">
        <v>46125</v>
      </c>
      <c r="I500" s="65"/>
      <c r="J500" s="82">
        <v>7203</v>
      </c>
      <c r="K500" s="70"/>
      <c r="L500" s="65"/>
      <c r="M500" s="82" t="s">
        <v>35</v>
      </c>
      <c r="N500" s="37">
        <f ca="1" t="shared" si="27"/>
        <v>4.23333333333333</v>
      </c>
      <c r="O500" s="57" t="s">
        <v>52</v>
      </c>
      <c r="P500" s="65">
        <v>7203</v>
      </c>
      <c r="Q500" s="57" t="s">
        <v>52</v>
      </c>
      <c r="R500" s="82" t="s">
        <v>723</v>
      </c>
      <c r="S500" s="5"/>
    </row>
    <row r="501" ht="43.2" spans="1:20">
      <c r="A501" s="65">
        <v>330</v>
      </c>
      <c r="B501" s="79" t="s">
        <v>28</v>
      </c>
      <c r="C501" s="79" t="s">
        <v>93</v>
      </c>
      <c r="D501" s="82" t="s">
        <v>413</v>
      </c>
      <c r="E501" s="171" t="s">
        <v>31</v>
      </c>
      <c r="F501" s="57" t="s">
        <v>568</v>
      </c>
      <c r="G501" s="114" t="s">
        <v>585</v>
      </c>
      <c r="H501" s="76">
        <v>46125</v>
      </c>
      <c r="I501" s="65">
        <v>0</v>
      </c>
      <c r="J501" s="82">
        <v>23030</v>
      </c>
      <c r="K501" s="70" t="s">
        <v>34</v>
      </c>
      <c r="L501" s="65">
        <v>0</v>
      </c>
      <c r="M501" s="82" t="s">
        <v>42</v>
      </c>
      <c r="N501" s="37">
        <f ca="1" t="shared" si="27"/>
        <v>4.23333333333333</v>
      </c>
      <c r="O501" s="70" t="s">
        <v>152</v>
      </c>
      <c r="P501" s="65">
        <f>J501</f>
        <v>23030</v>
      </c>
      <c r="Q501" s="66" t="s">
        <v>53</v>
      </c>
      <c r="R501" s="82" t="s">
        <v>724</v>
      </c>
      <c r="S501" s="58" t="s">
        <v>55</v>
      </c>
      <c r="T501" s="5"/>
    </row>
    <row r="502" ht="57.6" spans="1:20">
      <c r="A502" s="65">
        <v>611</v>
      </c>
      <c r="B502" s="79" t="s">
        <v>28</v>
      </c>
      <c r="C502" s="79" t="s">
        <v>725</v>
      </c>
      <c r="D502" s="79" t="s">
        <v>142</v>
      </c>
      <c r="E502" s="67"/>
      <c r="F502" s="67"/>
      <c r="G502" s="80"/>
      <c r="H502" s="76">
        <v>46125</v>
      </c>
      <c r="I502" s="65"/>
      <c r="J502" s="82">
        <v>11000</v>
      </c>
      <c r="K502" s="70"/>
      <c r="L502" s="65"/>
      <c r="M502" s="82" t="s">
        <v>79</v>
      </c>
      <c r="N502" s="37">
        <f ca="1" t="shared" si="27"/>
        <v>4.23333333333333</v>
      </c>
      <c r="O502" s="70"/>
      <c r="P502" s="65">
        <v>11000</v>
      </c>
      <c r="Q502" s="66"/>
      <c r="R502" s="82" t="s">
        <v>726</v>
      </c>
      <c r="S502" s="5"/>
    </row>
    <row r="503" ht="43.2" spans="1:20">
      <c r="A503" s="65">
        <v>341</v>
      </c>
      <c r="B503" s="79" t="s">
        <v>28</v>
      </c>
      <c r="C503" s="79" t="s">
        <v>456</v>
      </c>
      <c r="D503" s="82" t="s">
        <v>413</v>
      </c>
      <c r="E503" s="171" t="s">
        <v>41</v>
      </c>
      <c r="F503" s="171" t="s">
        <v>41</v>
      </c>
      <c r="G503" s="172" t="s">
        <v>41</v>
      </c>
      <c r="H503" s="76">
        <v>46126</v>
      </c>
      <c r="I503" s="65">
        <v>0</v>
      </c>
      <c r="J503" s="82">
        <v>11000</v>
      </c>
      <c r="K503" s="70" t="s">
        <v>34</v>
      </c>
      <c r="L503" s="65">
        <v>0</v>
      </c>
      <c r="M503" s="82" t="s">
        <v>42</v>
      </c>
      <c r="N503" s="37">
        <f ca="1" t="shared" si="27"/>
        <v>4.2</v>
      </c>
      <c r="O503" s="57" t="s">
        <v>52</v>
      </c>
      <c r="P503" s="65">
        <f t="shared" ref="P503:P513" si="29">J503</f>
        <v>11000</v>
      </c>
      <c r="Q503" s="66" t="s">
        <v>53</v>
      </c>
      <c r="R503" s="82" t="s">
        <v>727</v>
      </c>
      <c r="S503" s="58" t="s">
        <v>55</v>
      </c>
      <c r="T503" s="5"/>
    </row>
    <row r="504" ht="43.2" spans="1:20">
      <c r="A504" s="65">
        <v>342</v>
      </c>
      <c r="B504" s="79" t="s">
        <v>28</v>
      </c>
      <c r="C504" s="79" t="s">
        <v>456</v>
      </c>
      <c r="D504" s="82" t="s">
        <v>413</v>
      </c>
      <c r="E504" s="171" t="s">
        <v>41</v>
      </c>
      <c r="F504" s="171" t="s">
        <v>41</v>
      </c>
      <c r="G504" s="172" t="s">
        <v>41</v>
      </c>
      <c r="H504" s="76">
        <v>46126</v>
      </c>
      <c r="I504" s="65">
        <v>0</v>
      </c>
      <c r="J504" s="82">
        <v>14800</v>
      </c>
      <c r="K504" s="70" t="s">
        <v>34</v>
      </c>
      <c r="L504" s="65">
        <v>0</v>
      </c>
      <c r="M504" s="82" t="s">
        <v>42</v>
      </c>
      <c r="N504" s="37">
        <f ca="1" t="shared" si="27"/>
        <v>4.2</v>
      </c>
      <c r="O504" s="57" t="s">
        <v>52</v>
      </c>
      <c r="P504" s="65">
        <f t="shared" si="29"/>
        <v>14800</v>
      </c>
      <c r="Q504" s="66" t="s">
        <v>53</v>
      </c>
      <c r="R504" s="82" t="s">
        <v>727</v>
      </c>
      <c r="S504" s="58" t="s">
        <v>55</v>
      </c>
      <c r="T504" s="5"/>
    </row>
    <row r="505" ht="43.2" spans="1:20">
      <c r="A505" s="65">
        <v>343</v>
      </c>
      <c r="B505" s="79" t="s">
        <v>28</v>
      </c>
      <c r="C505" s="79" t="s">
        <v>456</v>
      </c>
      <c r="D505" s="82" t="s">
        <v>413</v>
      </c>
      <c r="E505" s="171" t="s">
        <v>41</v>
      </c>
      <c r="F505" s="171" t="s">
        <v>41</v>
      </c>
      <c r="G505" s="172" t="s">
        <v>41</v>
      </c>
      <c r="H505" s="76">
        <v>46126</v>
      </c>
      <c r="I505" s="65">
        <v>0</v>
      </c>
      <c r="J505" s="82">
        <v>7840</v>
      </c>
      <c r="K505" s="70" t="s">
        <v>34</v>
      </c>
      <c r="L505" s="65">
        <v>0</v>
      </c>
      <c r="M505" s="82" t="s">
        <v>42</v>
      </c>
      <c r="N505" s="37">
        <f ca="1" t="shared" si="27"/>
        <v>4.2</v>
      </c>
      <c r="O505" s="57" t="s">
        <v>52</v>
      </c>
      <c r="P505" s="65">
        <f t="shared" si="29"/>
        <v>7840</v>
      </c>
      <c r="Q505" s="66" t="s">
        <v>53</v>
      </c>
      <c r="R505" s="82" t="s">
        <v>727</v>
      </c>
      <c r="S505" s="58" t="s">
        <v>55</v>
      </c>
      <c r="T505" s="5"/>
    </row>
    <row r="506" ht="43.2" spans="1:20">
      <c r="A506" s="65">
        <v>344</v>
      </c>
      <c r="B506" s="79" t="s">
        <v>28</v>
      </c>
      <c r="C506" s="79" t="s">
        <v>456</v>
      </c>
      <c r="D506" s="82" t="s">
        <v>413</v>
      </c>
      <c r="E506" s="171" t="s">
        <v>41</v>
      </c>
      <c r="F506" s="171" t="s">
        <v>41</v>
      </c>
      <c r="G506" s="172" t="s">
        <v>41</v>
      </c>
      <c r="H506" s="76">
        <v>46126</v>
      </c>
      <c r="I506" s="65">
        <v>0</v>
      </c>
      <c r="J506" s="82">
        <v>9200</v>
      </c>
      <c r="K506" s="70" t="s">
        <v>34</v>
      </c>
      <c r="L506" s="65">
        <v>0</v>
      </c>
      <c r="M506" s="82" t="s">
        <v>42</v>
      </c>
      <c r="N506" s="37">
        <f ca="1" t="shared" si="27"/>
        <v>4.2</v>
      </c>
      <c r="O506" s="57" t="s">
        <v>52</v>
      </c>
      <c r="P506" s="65">
        <f t="shared" si="29"/>
        <v>9200</v>
      </c>
      <c r="Q506" s="57" t="s">
        <v>52</v>
      </c>
      <c r="R506" s="82" t="s">
        <v>727</v>
      </c>
      <c r="S506" s="58" t="s">
        <v>55</v>
      </c>
      <c r="T506" s="5"/>
    </row>
    <row r="507" ht="43.2" spans="1:20">
      <c r="A507" s="65">
        <v>320</v>
      </c>
      <c r="B507" s="79" t="s">
        <v>28</v>
      </c>
      <c r="C507" s="79" t="s">
        <v>93</v>
      </c>
      <c r="D507" s="82" t="s">
        <v>413</v>
      </c>
      <c r="E507" s="171" t="s">
        <v>31</v>
      </c>
      <c r="F507" s="57" t="s">
        <v>568</v>
      </c>
      <c r="G507" s="114" t="s">
        <v>585</v>
      </c>
      <c r="H507" s="76">
        <v>46126</v>
      </c>
      <c r="I507" s="65">
        <v>0</v>
      </c>
      <c r="J507" s="82">
        <v>8413</v>
      </c>
      <c r="K507" s="70" t="s">
        <v>34</v>
      </c>
      <c r="L507" s="65">
        <v>0</v>
      </c>
      <c r="M507" s="82" t="s">
        <v>58</v>
      </c>
      <c r="N507" s="37">
        <f ca="1" t="shared" si="27"/>
        <v>4.2</v>
      </c>
      <c r="O507" s="70" t="s">
        <v>152</v>
      </c>
      <c r="P507" s="65">
        <f t="shared" si="29"/>
        <v>8413</v>
      </c>
      <c r="Q507" s="66" t="s">
        <v>53</v>
      </c>
      <c r="R507" s="82" t="s">
        <v>728</v>
      </c>
      <c r="S507" s="58" t="s">
        <v>55</v>
      </c>
      <c r="T507" s="5"/>
    </row>
    <row r="508" ht="43.2" spans="1:20">
      <c r="A508" s="65">
        <v>325</v>
      </c>
      <c r="B508" s="79" t="s">
        <v>28</v>
      </c>
      <c r="C508" s="79" t="s">
        <v>93</v>
      </c>
      <c r="D508" s="82" t="s">
        <v>413</v>
      </c>
      <c r="E508" s="67" t="s">
        <v>31</v>
      </c>
      <c r="F508" s="57" t="s">
        <v>568</v>
      </c>
      <c r="G508" s="114" t="s">
        <v>585</v>
      </c>
      <c r="H508" s="76">
        <v>46126</v>
      </c>
      <c r="I508" s="65">
        <v>0</v>
      </c>
      <c r="J508" s="82">
        <v>83237</v>
      </c>
      <c r="K508" s="70" t="s">
        <v>34</v>
      </c>
      <c r="L508" s="65">
        <v>0</v>
      </c>
      <c r="M508" s="82" t="s">
        <v>47</v>
      </c>
      <c r="N508" s="37">
        <f ca="1" t="shared" si="27"/>
        <v>4.2</v>
      </c>
      <c r="O508" s="70" t="s">
        <v>152</v>
      </c>
      <c r="P508" s="65">
        <f t="shared" si="29"/>
        <v>83237</v>
      </c>
      <c r="Q508" s="66" t="s">
        <v>53</v>
      </c>
      <c r="R508" s="82" t="s">
        <v>729</v>
      </c>
      <c r="S508" s="58" t="s">
        <v>55</v>
      </c>
      <c r="T508" s="5"/>
    </row>
    <row r="509" ht="43.2" spans="1:20">
      <c r="A509" s="65">
        <v>326</v>
      </c>
      <c r="B509" s="79" t="s">
        <v>28</v>
      </c>
      <c r="C509" s="79" t="s">
        <v>93</v>
      </c>
      <c r="D509" s="82" t="s">
        <v>413</v>
      </c>
      <c r="E509" s="67" t="s">
        <v>31</v>
      </c>
      <c r="F509" s="57" t="s">
        <v>568</v>
      </c>
      <c r="G509" s="114" t="s">
        <v>585</v>
      </c>
      <c r="H509" s="76">
        <v>46126</v>
      </c>
      <c r="I509" s="65">
        <v>0</v>
      </c>
      <c r="J509" s="82">
        <v>111531</v>
      </c>
      <c r="K509" s="70" t="s">
        <v>34</v>
      </c>
      <c r="L509" s="65">
        <v>0</v>
      </c>
      <c r="M509" s="82" t="s">
        <v>58</v>
      </c>
      <c r="N509" s="37">
        <f ca="1" t="shared" ref="N509:N566" si="30">(TODAY()-H509)/30</f>
        <v>4.2</v>
      </c>
      <c r="O509" s="70" t="s">
        <v>152</v>
      </c>
      <c r="P509" s="65">
        <f t="shared" si="29"/>
        <v>111531</v>
      </c>
      <c r="Q509" s="66" t="s">
        <v>53</v>
      </c>
      <c r="R509" s="82" t="s">
        <v>729</v>
      </c>
      <c r="S509" s="58" t="s">
        <v>55</v>
      </c>
      <c r="T509" s="5"/>
    </row>
    <row r="510" ht="43.2" spans="1:20">
      <c r="A510" s="65">
        <v>347</v>
      </c>
      <c r="B510" s="79" t="s">
        <v>28</v>
      </c>
      <c r="C510" s="79" t="s">
        <v>93</v>
      </c>
      <c r="D510" s="82" t="s">
        <v>413</v>
      </c>
      <c r="E510" s="67" t="s">
        <v>31</v>
      </c>
      <c r="F510" s="57" t="s">
        <v>568</v>
      </c>
      <c r="G510" s="114" t="s">
        <v>585</v>
      </c>
      <c r="H510" s="76">
        <v>46126</v>
      </c>
      <c r="I510" s="65">
        <v>0</v>
      </c>
      <c r="J510" s="82">
        <v>14100</v>
      </c>
      <c r="K510" s="70" t="s">
        <v>34</v>
      </c>
      <c r="L510" s="65">
        <v>0</v>
      </c>
      <c r="M510" s="82" t="s">
        <v>35</v>
      </c>
      <c r="N510" s="37">
        <f ca="1" t="shared" si="30"/>
        <v>4.2</v>
      </c>
      <c r="O510" s="70" t="s">
        <v>152</v>
      </c>
      <c r="P510" s="65">
        <f t="shared" si="29"/>
        <v>14100</v>
      </c>
      <c r="Q510" s="66" t="s">
        <v>53</v>
      </c>
      <c r="R510" s="82" t="s">
        <v>730</v>
      </c>
      <c r="S510" s="58" t="s">
        <v>55</v>
      </c>
      <c r="T510" s="5"/>
    </row>
    <row r="511" ht="28.8" spans="1:20">
      <c r="A511" s="65">
        <v>322</v>
      </c>
      <c r="B511" s="66" t="s">
        <v>28</v>
      </c>
      <c r="C511" s="66" t="s">
        <v>731</v>
      </c>
      <c r="D511" s="65" t="s">
        <v>413</v>
      </c>
      <c r="E511" s="67" t="s">
        <v>31</v>
      </c>
      <c r="F511" s="65" t="s">
        <v>732</v>
      </c>
      <c r="G511" s="116" t="s">
        <v>558</v>
      </c>
      <c r="H511" s="76">
        <v>46126</v>
      </c>
      <c r="I511" s="65">
        <v>4400</v>
      </c>
      <c r="J511" s="65">
        <v>17248</v>
      </c>
      <c r="K511" s="70" t="s">
        <v>83</v>
      </c>
      <c r="L511" s="65">
        <f>I511+J511</f>
        <v>21648</v>
      </c>
      <c r="M511" s="65" t="s">
        <v>35</v>
      </c>
      <c r="N511" s="37">
        <f ca="1" t="shared" si="30"/>
        <v>4.2</v>
      </c>
      <c r="O511" s="71">
        <v>46266</v>
      </c>
      <c r="P511" s="65">
        <f t="shared" si="29"/>
        <v>17248</v>
      </c>
      <c r="Q511" s="57" t="s">
        <v>145</v>
      </c>
      <c r="R511" s="65" t="s">
        <v>733</v>
      </c>
      <c r="S511" s="58" t="s">
        <v>103</v>
      </c>
      <c r="T511" s="78"/>
    </row>
    <row r="512" ht="43.2" spans="1:20">
      <c r="A512" s="65">
        <v>323</v>
      </c>
      <c r="B512" s="79" t="s">
        <v>28</v>
      </c>
      <c r="C512" s="79" t="s">
        <v>29</v>
      </c>
      <c r="D512" s="82" t="s">
        <v>57</v>
      </c>
      <c r="E512" s="67" t="s">
        <v>31</v>
      </c>
      <c r="F512" s="65" t="s">
        <v>32</v>
      </c>
      <c r="G512" s="68" t="s">
        <v>33</v>
      </c>
      <c r="H512" s="76">
        <v>46126</v>
      </c>
      <c r="I512" s="65">
        <v>0</v>
      </c>
      <c r="J512" s="82">
        <v>18480</v>
      </c>
      <c r="K512" s="70" t="s">
        <v>34</v>
      </c>
      <c r="L512" s="65">
        <v>0</v>
      </c>
      <c r="M512" s="82" t="s">
        <v>58</v>
      </c>
      <c r="N512" s="37">
        <f ca="1" t="shared" si="30"/>
        <v>4.2</v>
      </c>
      <c r="O512" s="70" t="s">
        <v>179</v>
      </c>
      <c r="P512" s="65">
        <f t="shared" si="29"/>
        <v>18480</v>
      </c>
      <c r="Q512" s="66" t="s">
        <v>180</v>
      </c>
      <c r="R512" s="82" t="s">
        <v>734</v>
      </c>
      <c r="S512" s="58" t="s">
        <v>55</v>
      </c>
      <c r="T512" s="5"/>
    </row>
    <row r="513" ht="43.2" spans="1:20">
      <c r="A513" s="30">
        <v>339</v>
      </c>
      <c r="B513" s="31" t="s">
        <v>28</v>
      </c>
      <c r="C513" s="31" t="s">
        <v>29</v>
      </c>
      <c r="D513" s="30" t="s">
        <v>413</v>
      </c>
      <c r="E513" s="33" t="s">
        <v>31</v>
      </c>
      <c r="F513" s="34" t="s">
        <v>236</v>
      </c>
      <c r="G513" s="35" t="s">
        <v>82</v>
      </c>
      <c r="H513" s="89">
        <v>46126</v>
      </c>
      <c r="I513" s="30">
        <v>0</v>
      </c>
      <c r="J513" s="30">
        <v>13640</v>
      </c>
      <c r="K513" s="32" t="s">
        <v>34</v>
      </c>
      <c r="L513" s="30">
        <v>0</v>
      </c>
      <c r="M513" s="30" t="s">
        <v>47</v>
      </c>
      <c r="N513" s="37">
        <f ca="1" t="shared" si="30"/>
        <v>4.2</v>
      </c>
      <c r="O513" s="32" t="s">
        <v>179</v>
      </c>
      <c r="P513" s="30">
        <f t="shared" si="29"/>
        <v>13640</v>
      </c>
      <c r="Q513" s="31" t="s">
        <v>180</v>
      </c>
      <c r="R513" s="30" t="s">
        <v>735</v>
      </c>
      <c r="S513" s="39" t="s">
        <v>38</v>
      </c>
      <c r="T513" s="77"/>
    </row>
    <row r="514" ht="43.2" spans="1:20">
      <c r="A514" s="65">
        <v>592</v>
      </c>
      <c r="B514" s="79" t="s">
        <v>28</v>
      </c>
      <c r="C514" s="79" t="s">
        <v>49</v>
      </c>
      <c r="D514" s="79" t="s">
        <v>142</v>
      </c>
      <c r="E514" s="67" t="s">
        <v>31</v>
      </c>
      <c r="F514" s="67" t="s">
        <v>241</v>
      </c>
      <c r="G514" s="80" t="s">
        <v>290</v>
      </c>
      <c r="H514" s="76">
        <v>46128</v>
      </c>
      <c r="I514" s="65"/>
      <c r="J514" s="82">
        <v>34743</v>
      </c>
      <c r="K514" s="70"/>
      <c r="L514" s="65"/>
      <c r="M514" s="82" t="s">
        <v>79</v>
      </c>
      <c r="N514" s="37">
        <f ca="1" t="shared" si="30"/>
        <v>4.13333333333333</v>
      </c>
      <c r="O514" s="57" t="s">
        <v>52</v>
      </c>
      <c r="P514" s="65">
        <v>34743</v>
      </c>
      <c r="Q514" s="57" t="s">
        <v>52</v>
      </c>
      <c r="R514" s="82" t="s">
        <v>736</v>
      </c>
      <c r="S514" s="5"/>
    </row>
    <row r="515" ht="43.2" spans="1:20">
      <c r="A515" s="65">
        <v>596</v>
      </c>
      <c r="B515" s="66" t="s">
        <v>28</v>
      </c>
      <c r="C515" s="79" t="s">
        <v>49</v>
      </c>
      <c r="D515" s="79" t="s">
        <v>142</v>
      </c>
      <c r="E515" s="67" t="s">
        <v>31</v>
      </c>
      <c r="F515" s="67" t="s">
        <v>241</v>
      </c>
      <c r="G515" s="80" t="s">
        <v>290</v>
      </c>
      <c r="H515" s="76">
        <v>46128</v>
      </c>
      <c r="I515" s="65"/>
      <c r="J515" s="82">
        <v>11652</v>
      </c>
      <c r="K515" s="70"/>
      <c r="L515" s="65"/>
      <c r="M515" s="82" t="s">
        <v>35</v>
      </c>
      <c r="N515" s="37">
        <f ca="1" t="shared" si="30"/>
        <v>4.13333333333333</v>
      </c>
      <c r="O515" s="57" t="s">
        <v>52</v>
      </c>
      <c r="P515" s="65">
        <v>11652</v>
      </c>
      <c r="Q515" s="57" t="s">
        <v>52</v>
      </c>
      <c r="R515" s="82" t="s">
        <v>737</v>
      </c>
      <c r="S515" s="5"/>
    </row>
    <row r="516" ht="43.2" spans="1:20">
      <c r="A516" s="65">
        <v>327</v>
      </c>
      <c r="B516" s="79" t="s">
        <v>28</v>
      </c>
      <c r="C516" s="79" t="s">
        <v>49</v>
      </c>
      <c r="D516" s="82" t="s">
        <v>413</v>
      </c>
      <c r="E516" s="171" t="s">
        <v>31</v>
      </c>
      <c r="F516" s="57" t="s">
        <v>241</v>
      </c>
      <c r="G516" s="83" t="s">
        <v>242</v>
      </c>
      <c r="H516" s="76">
        <v>46129</v>
      </c>
      <c r="I516" s="65">
        <v>0</v>
      </c>
      <c r="J516" s="82">
        <v>10593</v>
      </c>
      <c r="K516" s="70" t="s">
        <v>34</v>
      </c>
      <c r="L516" s="65">
        <v>0</v>
      </c>
      <c r="M516" s="82" t="s">
        <v>42</v>
      </c>
      <c r="N516" s="37">
        <f ca="1" t="shared" si="30"/>
        <v>4.1</v>
      </c>
      <c r="O516" s="71">
        <v>46266</v>
      </c>
      <c r="P516" s="65">
        <f>J516</f>
        <v>10593</v>
      </c>
      <c r="Q516" s="66" t="s">
        <v>201</v>
      </c>
      <c r="R516" s="82" t="s">
        <v>738</v>
      </c>
      <c r="S516" s="58" t="s">
        <v>55</v>
      </c>
      <c r="T516" s="5"/>
    </row>
    <row r="517" ht="43.2" spans="1:20">
      <c r="A517" s="65">
        <v>337</v>
      </c>
      <c r="B517" s="79" t="s">
        <v>28</v>
      </c>
      <c r="C517" s="79" t="s">
        <v>49</v>
      </c>
      <c r="D517" s="82" t="s">
        <v>57</v>
      </c>
      <c r="E517" s="67"/>
      <c r="F517" s="67"/>
      <c r="G517" s="80"/>
      <c r="H517" s="76">
        <v>46129</v>
      </c>
      <c r="I517" s="65">
        <v>0</v>
      </c>
      <c r="J517" s="82">
        <v>20160</v>
      </c>
      <c r="K517" s="70" t="s">
        <v>34</v>
      </c>
      <c r="L517" s="65">
        <v>0</v>
      </c>
      <c r="M517" s="82" t="s">
        <v>47</v>
      </c>
      <c r="N517" s="37">
        <f ca="1" t="shared" si="30"/>
        <v>4.1</v>
      </c>
      <c r="O517" s="57" t="s">
        <v>52</v>
      </c>
      <c r="P517" s="65">
        <f>J517</f>
        <v>20160</v>
      </c>
      <c r="Q517" s="66" t="s">
        <v>681</v>
      </c>
      <c r="R517" s="82" t="s">
        <v>739</v>
      </c>
      <c r="S517" s="58" t="s">
        <v>55</v>
      </c>
      <c r="T517" s="5"/>
    </row>
    <row r="518" ht="43.2" spans="1:20">
      <c r="A518" s="65">
        <v>589</v>
      </c>
      <c r="B518" s="79" t="s">
        <v>28</v>
      </c>
      <c r="C518" s="79" t="s">
        <v>49</v>
      </c>
      <c r="D518" s="79" t="s">
        <v>142</v>
      </c>
      <c r="E518" s="67" t="s">
        <v>31</v>
      </c>
      <c r="F518" s="67" t="s">
        <v>241</v>
      </c>
      <c r="G518" s="80" t="s">
        <v>290</v>
      </c>
      <c r="H518" s="76">
        <v>46129</v>
      </c>
      <c r="I518" s="65"/>
      <c r="J518" s="82">
        <v>45336</v>
      </c>
      <c r="K518" s="70"/>
      <c r="L518" s="65"/>
      <c r="M518" s="82" t="s">
        <v>47</v>
      </c>
      <c r="N518" s="37">
        <f ca="1" t="shared" si="30"/>
        <v>4.1</v>
      </c>
      <c r="O518" s="57" t="s">
        <v>52</v>
      </c>
      <c r="P518" s="65">
        <v>45336</v>
      </c>
      <c r="Q518" s="57" t="s">
        <v>52</v>
      </c>
      <c r="R518" s="82" t="s">
        <v>740</v>
      </c>
      <c r="S518" s="5"/>
    </row>
    <row r="519" ht="43.2" spans="1:20">
      <c r="A519" s="65">
        <v>591</v>
      </c>
      <c r="B519" s="66" t="s">
        <v>28</v>
      </c>
      <c r="C519" s="79" t="s">
        <v>49</v>
      </c>
      <c r="D519" s="79" t="s">
        <v>142</v>
      </c>
      <c r="E519" s="67" t="s">
        <v>31</v>
      </c>
      <c r="F519" s="67" t="s">
        <v>241</v>
      </c>
      <c r="G519" s="80" t="s">
        <v>290</v>
      </c>
      <c r="H519" s="76">
        <v>46129</v>
      </c>
      <c r="I519" s="65"/>
      <c r="J519" s="82">
        <v>12330</v>
      </c>
      <c r="K519" s="70"/>
      <c r="L519" s="65"/>
      <c r="M519" s="82" t="s">
        <v>42</v>
      </c>
      <c r="N519" s="37">
        <f ca="1" t="shared" si="30"/>
        <v>4.1</v>
      </c>
      <c r="O519" s="57" t="s">
        <v>52</v>
      </c>
      <c r="P519" s="65">
        <v>12330</v>
      </c>
      <c r="Q519" s="57" t="s">
        <v>52</v>
      </c>
      <c r="R519" s="82" t="s">
        <v>741</v>
      </c>
      <c r="S519" s="5"/>
    </row>
    <row r="520" ht="43.2" spans="1:20">
      <c r="A520" s="65">
        <v>595</v>
      </c>
      <c r="B520" s="79" t="s">
        <v>28</v>
      </c>
      <c r="C520" s="79" t="s">
        <v>49</v>
      </c>
      <c r="D520" s="79" t="s">
        <v>142</v>
      </c>
      <c r="E520" s="67" t="s">
        <v>31</v>
      </c>
      <c r="F520" s="67" t="s">
        <v>241</v>
      </c>
      <c r="G520" s="80" t="s">
        <v>290</v>
      </c>
      <c r="H520" s="76">
        <v>46129</v>
      </c>
      <c r="I520" s="65"/>
      <c r="J520" s="82">
        <v>5719.95</v>
      </c>
      <c r="K520" s="70"/>
      <c r="L520" s="65"/>
      <c r="M520" s="84" t="s">
        <v>634</v>
      </c>
      <c r="N520" s="37">
        <f ca="1" t="shared" si="30"/>
        <v>4.1</v>
      </c>
      <c r="O520" s="57" t="s">
        <v>52</v>
      </c>
      <c r="P520" s="65">
        <v>5719.95</v>
      </c>
      <c r="Q520" s="57" t="s">
        <v>52</v>
      </c>
      <c r="R520" s="82" t="s">
        <v>742</v>
      </c>
      <c r="S520" s="5"/>
    </row>
    <row r="521" ht="43.2" spans="1:20">
      <c r="A521" s="65">
        <v>310</v>
      </c>
      <c r="B521" s="79" t="s">
        <v>28</v>
      </c>
      <c r="C521" s="79" t="s">
        <v>49</v>
      </c>
      <c r="D521" s="82" t="s">
        <v>413</v>
      </c>
      <c r="E521" s="171" t="s">
        <v>31</v>
      </c>
      <c r="F521" s="57" t="s">
        <v>241</v>
      </c>
      <c r="G521" s="83" t="s">
        <v>242</v>
      </c>
      <c r="H521" s="76">
        <v>46132</v>
      </c>
      <c r="I521" s="65">
        <v>0</v>
      </c>
      <c r="J521" s="82">
        <v>7711</v>
      </c>
      <c r="K521" s="70" t="s">
        <v>34</v>
      </c>
      <c r="L521" s="65">
        <v>0</v>
      </c>
      <c r="M521" s="82" t="s">
        <v>58</v>
      </c>
      <c r="N521" s="37">
        <f ca="1" t="shared" si="30"/>
        <v>4</v>
      </c>
      <c r="O521" s="71">
        <v>46266</v>
      </c>
      <c r="P521" s="65">
        <f>J521</f>
        <v>7711</v>
      </c>
      <c r="Q521" s="66" t="s">
        <v>201</v>
      </c>
      <c r="R521" s="82" t="s">
        <v>743</v>
      </c>
      <c r="S521" s="58" t="s">
        <v>55</v>
      </c>
      <c r="T521" s="5"/>
    </row>
    <row r="522" ht="43.2" spans="1:20">
      <c r="A522" s="65">
        <v>334</v>
      </c>
      <c r="B522" s="79" t="s">
        <v>28</v>
      </c>
      <c r="C522" s="79" t="s">
        <v>49</v>
      </c>
      <c r="D522" s="82" t="s">
        <v>413</v>
      </c>
      <c r="E522" s="171" t="s">
        <v>31</v>
      </c>
      <c r="F522" s="57" t="s">
        <v>241</v>
      </c>
      <c r="G522" s="83" t="s">
        <v>242</v>
      </c>
      <c r="H522" s="76">
        <v>46132</v>
      </c>
      <c r="I522" s="65">
        <v>0</v>
      </c>
      <c r="J522" s="82">
        <v>5593</v>
      </c>
      <c r="K522" s="70" t="s">
        <v>34</v>
      </c>
      <c r="L522" s="65">
        <v>0</v>
      </c>
      <c r="M522" s="82" t="s">
        <v>47</v>
      </c>
      <c r="N522" s="37">
        <f ca="1" t="shared" si="30"/>
        <v>4</v>
      </c>
      <c r="O522" s="71">
        <v>46266</v>
      </c>
      <c r="P522" s="65">
        <f>J522</f>
        <v>5593</v>
      </c>
      <c r="Q522" s="66" t="s">
        <v>201</v>
      </c>
      <c r="R522" s="82" t="s">
        <v>744</v>
      </c>
      <c r="S522" s="58" t="s">
        <v>55</v>
      </c>
      <c r="T522" s="5"/>
    </row>
    <row r="523" ht="43.2" spans="1:20">
      <c r="A523" s="65">
        <v>608</v>
      </c>
      <c r="B523" s="79" t="s">
        <v>28</v>
      </c>
      <c r="C523" s="79" t="s">
        <v>49</v>
      </c>
      <c r="D523" s="79" t="s">
        <v>142</v>
      </c>
      <c r="E523" s="67" t="s">
        <v>31</v>
      </c>
      <c r="F523" s="67" t="s">
        <v>241</v>
      </c>
      <c r="G523" s="80" t="s">
        <v>290</v>
      </c>
      <c r="H523" s="76">
        <v>46133</v>
      </c>
      <c r="I523" s="65"/>
      <c r="J523" s="82">
        <v>28981</v>
      </c>
      <c r="K523" s="70"/>
      <c r="L523" s="65"/>
      <c r="M523" s="82" t="s">
        <v>35</v>
      </c>
      <c r="N523" s="37">
        <f ca="1" t="shared" si="30"/>
        <v>3.96666666666667</v>
      </c>
      <c r="O523" s="57" t="s">
        <v>52</v>
      </c>
      <c r="P523" s="65">
        <v>28981</v>
      </c>
      <c r="Q523" s="57" t="s">
        <v>52</v>
      </c>
      <c r="R523" s="82" t="s">
        <v>745</v>
      </c>
      <c r="S523" s="5"/>
    </row>
    <row r="524" ht="72" spans="1:20">
      <c r="A524" s="41">
        <v>314</v>
      </c>
      <c r="B524" s="42" t="s">
        <v>28</v>
      </c>
      <c r="C524" s="42" t="s">
        <v>380</v>
      </c>
      <c r="D524" s="41" t="s">
        <v>57</v>
      </c>
      <c r="E524" s="165" t="s">
        <v>41</v>
      </c>
      <c r="F524" s="165" t="s">
        <v>41</v>
      </c>
      <c r="G524" s="166" t="s">
        <v>41</v>
      </c>
      <c r="H524" s="75">
        <v>46134</v>
      </c>
      <c r="I524" s="41">
        <v>0</v>
      </c>
      <c r="J524" s="41">
        <v>7281</v>
      </c>
      <c r="K524" s="43" t="s">
        <v>34</v>
      </c>
      <c r="L524" s="41">
        <v>0</v>
      </c>
      <c r="M524" s="41" t="s">
        <v>47</v>
      </c>
      <c r="N524" s="37">
        <f ca="1" t="shared" si="30"/>
        <v>3.93333333333333</v>
      </c>
      <c r="O524" s="47">
        <v>46266</v>
      </c>
      <c r="P524" s="41">
        <f t="shared" ref="P524:P529" si="31">J524</f>
        <v>7281</v>
      </c>
      <c r="Q524" s="63" t="s">
        <v>185</v>
      </c>
      <c r="R524" s="41" t="s">
        <v>746</v>
      </c>
      <c r="S524" s="48" t="s">
        <v>45</v>
      </c>
      <c r="T524" s="50"/>
    </row>
    <row r="525" ht="43.2" spans="1:20">
      <c r="A525" s="65">
        <v>309</v>
      </c>
      <c r="B525" s="66" t="s">
        <v>28</v>
      </c>
      <c r="C525" s="66" t="s">
        <v>456</v>
      </c>
      <c r="D525" s="65" t="s">
        <v>413</v>
      </c>
      <c r="E525" s="171" t="s">
        <v>41</v>
      </c>
      <c r="F525" s="171" t="s">
        <v>41</v>
      </c>
      <c r="G525" s="172" t="s">
        <v>41</v>
      </c>
      <c r="H525" s="76">
        <v>46136</v>
      </c>
      <c r="I525" s="65">
        <v>0</v>
      </c>
      <c r="J525" s="65">
        <v>12400</v>
      </c>
      <c r="K525" s="70" t="s">
        <v>34</v>
      </c>
      <c r="L525" s="65">
        <v>0</v>
      </c>
      <c r="M525" s="65" t="s">
        <v>42</v>
      </c>
      <c r="N525" s="37">
        <f ca="1" t="shared" si="30"/>
        <v>3.86666666666667</v>
      </c>
      <c r="O525" s="57" t="s">
        <v>52</v>
      </c>
      <c r="P525" s="65">
        <f t="shared" si="31"/>
        <v>12400</v>
      </c>
      <c r="Q525" s="66" t="s">
        <v>53</v>
      </c>
      <c r="R525" s="65" t="s">
        <v>747</v>
      </c>
      <c r="S525" s="58" t="s">
        <v>55</v>
      </c>
      <c r="T525" s="78"/>
    </row>
    <row r="526" ht="86.4" spans="1:20">
      <c r="A526" s="65">
        <v>335</v>
      </c>
      <c r="B526" s="79" t="s">
        <v>28</v>
      </c>
      <c r="C526" s="79" t="s">
        <v>748</v>
      </c>
      <c r="D526" s="82" t="s">
        <v>57</v>
      </c>
      <c r="E526" s="171" t="s">
        <v>41</v>
      </c>
      <c r="F526" s="171" t="s">
        <v>41</v>
      </c>
      <c r="G526" s="172" t="s">
        <v>41</v>
      </c>
      <c r="H526" s="76">
        <v>46136</v>
      </c>
      <c r="I526" s="65">
        <v>0</v>
      </c>
      <c r="J526" s="82">
        <v>5325</v>
      </c>
      <c r="K526" s="70" t="s">
        <v>34</v>
      </c>
      <c r="L526" s="65">
        <v>0</v>
      </c>
      <c r="M526" s="82" t="s">
        <v>47</v>
      </c>
      <c r="N526" s="37">
        <f ca="1" t="shared" si="30"/>
        <v>3.86666666666667</v>
      </c>
      <c r="O526" s="71">
        <v>46174</v>
      </c>
      <c r="P526" s="65">
        <f t="shared" si="31"/>
        <v>5325</v>
      </c>
      <c r="Q526" s="66" t="s">
        <v>749</v>
      </c>
      <c r="R526" s="82" t="s">
        <v>750</v>
      </c>
      <c r="S526" s="58" t="s">
        <v>103</v>
      </c>
      <c r="T526" s="5"/>
    </row>
    <row r="527" ht="43.2" spans="1:20">
      <c r="A527" s="65">
        <v>308</v>
      </c>
      <c r="B527" s="79" t="s">
        <v>28</v>
      </c>
      <c r="C527" s="79" t="s">
        <v>49</v>
      </c>
      <c r="D527" s="82" t="s">
        <v>30</v>
      </c>
      <c r="E527" s="171" t="s">
        <v>31</v>
      </c>
      <c r="F527" s="57" t="s">
        <v>454</v>
      </c>
      <c r="G527" s="83" t="s">
        <v>346</v>
      </c>
      <c r="H527" s="76">
        <v>46136</v>
      </c>
      <c r="I527" s="65">
        <v>0</v>
      </c>
      <c r="J527" s="82">
        <v>7500</v>
      </c>
      <c r="K527" s="70" t="s">
        <v>34</v>
      </c>
      <c r="L527" s="65">
        <v>0</v>
      </c>
      <c r="M527" s="82" t="s">
        <v>47</v>
      </c>
      <c r="N527" s="37">
        <f ca="1" t="shared" si="30"/>
        <v>3.86666666666667</v>
      </c>
      <c r="O527" s="71">
        <v>46266</v>
      </c>
      <c r="P527" s="65">
        <f t="shared" si="31"/>
        <v>7500</v>
      </c>
      <c r="Q527" s="66" t="s">
        <v>133</v>
      </c>
      <c r="R527" s="82" t="s">
        <v>751</v>
      </c>
      <c r="S527" s="58" t="s">
        <v>55</v>
      </c>
      <c r="T527" s="5"/>
    </row>
    <row r="528" ht="43.2" spans="1:20">
      <c r="A528" s="65">
        <v>319</v>
      </c>
      <c r="B528" s="79" t="s">
        <v>28</v>
      </c>
      <c r="C528" s="79" t="s">
        <v>49</v>
      </c>
      <c r="D528" s="82" t="s">
        <v>413</v>
      </c>
      <c r="E528" s="171" t="s">
        <v>31</v>
      </c>
      <c r="F528" s="57" t="s">
        <v>241</v>
      </c>
      <c r="G528" s="83" t="s">
        <v>242</v>
      </c>
      <c r="H528" s="76">
        <v>46136</v>
      </c>
      <c r="I528" s="65">
        <v>0</v>
      </c>
      <c r="J528" s="82">
        <v>15338</v>
      </c>
      <c r="K528" s="70" t="s">
        <v>34</v>
      </c>
      <c r="L528" s="65">
        <v>0</v>
      </c>
      <c r="M528" s="82" t="s">
        <v>47</v>
      </c>
      <c r="N528" s="37">
        <f ca="1" t="shared" si="30"/>
        <v>3.86666666666667</v>
      </c>
      <c r="O528" s="71">
        <v>46266</v>
      </c>
      <c r="P528" s="65">
        <f t="shared" si="31"/>
        <v>15338</v>
      </c>
      <c r="Q528" s="66" t="s">
        <v>201</v>
      </c>
      <c r="R528" s="82" t="s">
        <v>752</v>
      </c>
      <c r="S528" s="58" t="s">
        <v>55</v>
      </c>
      <c r="T528" s="5"/>
    </row>
    <row r="529" ht="43.2" spans="1:20">
      <c r="A529" s="30">
        <v>340</v>
      </c>
      <c r="B529" s="31" t="s">
        <v>28</v>
      </c>
      <c r="C529" s="31" t="s">
        <v>49</v>
      </c>
      <c r="D529" s="30" t="s">
        <v>57</v>
      </c>
      <c r="E529" s="67" t="s">
        <v>31</v>
      </c>
      <c r="F529" s="33" t="s">
        <v>628</v>
      </c>
      <c r="G529" s="80" t="s">
        <v>305</v>
      </c>
      <c r="H529" s="89">
        <v>46136</v>
      </c>
      <c r="I529" s="30">
        <v>0</v>
      </c>
      <c r="J529" s="30">
        <v>16060</v>
      </c>
      <c r="K529" s="32" t="s">
        <v>34</v>
      </c>
      <c r="L529" s="30">
        <v>0</v>
      </c>
      <c r="M529" s="30" t="s">
        <v>42</v>
      </c>
      <c r="N529" s="37">
        <f ca="1" t="shared" si="30"/>
        <v>3.86666666666667</v>
      </c>
      <c r="O529" s="57" t="s">
        <v>52</v>
      </c>
      <c r="P529" s="30">
        <f t="shared" si="31"/>
        <v>16060</v>
      </c>
      <c r="Q529" s="31" t="s">
        <v>201</v>
      </c>
      <c r="R529" s="30" t="s">
        <v>753</v>
      </c>
      <c r="S529" s="39" t="s">
        <v>38</v>
      </c>
      <c r="T529" s="77"/>
    </row>
    <row r="530" ht="43.2" spans="1:20">
      <c r="A530" s="65">
        <v>597</v>
      </c>
      <c r="B530" s="79" t="s">
        <v>28</v>
      </c>
      <c r="C530" s="79" t="s">
        <v>49</v>
      </c>
      <c r="D530" s="79" t="s">
        <v>142</v>
      </c>
      <c r="E530" s="67" t="s">
        <v>31</v>
      </c>
      <c r="F530" s="67" t="s">
        <v>241</v>
      </c>
      <c r="G530" s="80" t="s">
        <v>290</v>
      </c>
      <c r="H530" s="76">
        <v>46136</v>
      </c>
      <c r="I530" s="65"/>
      <c r="J530" s="82">
        <v>20761</v>
      </c>
      <c r="K530" s="70"/>
      <c r="L530" s="65"/>
      <c r="M530" s="82" t="s">
        <v>35</v>
      </c>
      <c r="N530" s="37">
        <f ca="1" t="shared" si="30"/>
        <v>3.86666666666667</v>
      </c>
      <c r="O530" s="57" t="s">
        <v>52</v>
      </c>
      <c r="P530" s="65">
        <v>20761</v>
      </c>
      <c r="Q530" s="66" t="s">
        <v>53</v>
      </c>
      <c r="R530" s="82" t="s">
        <v>754</v>
      </c>
      <c r="S530" s="5"/>
    </row>
    <row r="531" ht="43.2" spans="1:20">
      <c r="A531" s="65">
        <v>642</v>
      </c>
      <c r="B531" s="79" t="s">
        <v>28</v>
      </c>
      <c r="C531" s="79" t="s">
        <v>552</v>
      </c>
      <c r="D531" s="79" t="s">
        <v>57</v>
      </c>
      <c r="E531" s="79" t="s">
        <v>31</v>
      </c>
      <c r="F531" s="79" t="s">
        <v>553</v>
      </c>
      <c r="G531" s="113" t="s">
        <v>554</v>
      </c>
      <c r="H531" s="76">
        <v>46140</v>
      </c>
      <c r="I531" s="65"/>
      <c r="J531" s="82">
        <v>7400</v>
      </c>
      <c r="K531" s="70" t="s">
        <v>34</v>
      </c>
      <c r="L531" s="65">
        <v>0</v>
      </c>
      <c r="M531" s="82" t="s">
        <v>42</v>
      </c>
      <c r="N531" s="37">
        <f ca="1" t="shared" si="30"/>
        <v>3.73333333333333</v>
      </c>
      <c r="O531" s="71">
        <v>46204</v>
      </c>
      <c r="P531" s="65">
        <v>7400</v>
      </c>
      <c r="Q531" s="66" t="s">
        <v>555</v>
      </c>
      <c r="R531" s="82" t="s">
        <v>755</v>
      </c>
      <c r="S531" s="58" t="s">
        <v>103</v>
      </c>
    </row>
    <row r="532" ht="43.2" spans="1:20">
      <c r="A532" s="65">
        <v>618</v>
      </c>
      <c r="B532" s="79" t="s">
        <v>28</v>
      </c>
      <c r="C532" s="79" t="s">
        <v>93</v>
      </c>
      <c r="D532" s="79" t="s">
        <v>142</v>
      </c>
      <c r="E532" s="67" t="s">
        <v>31</v>
      </c>
      <c r="F532" s="57" t="s">
        <v>568</v>
      </c>
      <c r="G532" s="114" t="s">
        <v>585</v>
      </c>
      <c r="H532" s="76">
        <v>46142</v>
      </c>
      <c r="I532" s="65">
        <v>0</v>
      </c>
      <c r="J532" s="82">
        <v>4752</v>
      </c>
      <c r="K532" s="70" t="s">
        <v>34</v>
      </c>
      <c r="L532" s="65">
        <v>0</v>
      </c>
      <c r="M532" s="82" t="s">
        <v>35</v>
      </c>
      <c r="N532" s="37">
        <f ca="1" t="shared" si="30"/>
        <v>3.66666666666667</v>
      </c>
      <c r="O532" s="71">
        <v>46327</v>
      </c>
      <c r="P532" s="65">
        <v>4752</v>
      </c>
      <c r="Q532" s="66" t="s">
        <v>53</v>
      </c>
      <c r="R532" s="82" t="s">
        <v>756</v>
      </c>
      <c r="S532" s="5"/>
    </row>
    <row r="533" ht="43.2" spans="1:20">
      <c r="A533" s="65">
        <v>635</v>
      </c>
      <c r="B533" s="79" t="s">
        <v>28</v>
      </c>
      <c r="C533" s="79" t="s">
        <v>49</v>
      </c>
      <c r="D533" s="79" t="s">
        <v>57</v>
      </c>
      <c r="E533" s="67" t="s">
        <v>31</v>
      </c>
      <c r="F533" s="67" t="s">
        <v>546</v>
      </c>
      <c r="G533" s="80" t="s">
        <v>388</v>
      </c>
      <c r="H533" s="76">
        <v>46148</v>
      </c>
      <c r="I533" s="65"/>
      <c r="J533" s="82">
        <v>12000</v>
      </c>
      <c r="K533" s="70"/>
      <c r="L533" s="65"/>
      <c r="M533" s="82" t="s">
        <v>79</v>
      </c>
      <c r="N533" s="37">
        <f ca="1" t="shared" si="30"/>
        <v>3.46666666666667</v>
      </c>
      <c r="O533" s="70"/>
      <c r="P533" s="65">
        <v>12000</v>
      </c>
      <c r="Q533" s="66"/>
      <c r="R533" s="82" t="s">
        <v>757</v>
      </c>
      <c r="S533" s="5"/>
    </row>
    <row r="534" ht="43.2" spans="1:20">
      <c r="A534" s="65">
        <v>617</v>
      </c>
      <c r="B534" s="66" t="s">
        <v>28</v>
      </c>
      <c r="C534" s="79" t="s">
        <v>758</v>
      </c>
      <c r="D534" s="79" t="s">
        <v>57</v>
      </c>
      <c r="E534" s="67"/>
      <c r="F534" s="67"/>
      <c r="G534" s="80"/>
      <c r="H534" s="76">
        <v>46148</v>
      </c>
      <c r="I534" s="65"/>
      <c r="J534" s="82">
        <v>5325</v>
      </c>
      <c r="K534" s="70"/>
      <c r="L534" s="65"/>
      <c r="M534" s="82" t="s">
        <v>35</v>
      </c>
      <c r="N534" s="37">
        <f ca="1" t="shared" si="30"/>
        <v>3.46666666666667</v>
      </c>
      <c r="O534" s="70"/>
      <c r="P534" s="65">
        <v>5325</v>
      </c>
      <c r="Q534" s="66"/>
      <c r="R534" s="82" t="s">
        <v>759</v>
      </c>
      <c r="S534" s="5" t="s">
        <v>103</v>
      </c>
    </row>
    <row r="535" ht="43.2" spans="1:20">
      <c r="A535" s="65">
        <v>636</v>
      </c>
      <c r="B535" s="66" t="s">
        <v>28</v>
      </c>
      <c r="C535" s="79" t="s">
        <v>93</v>
      </c>
      <c r="D535" s="79" t="s">
        <v>142</v>
      </c>
      <c r="E535" s="67" t="s">
        <v>31</v>
      </c>
      <c r="F535" s="57" t="s">
        <v>568</v>
      </c>
      <c r="G535" s="114" t="s">
        <v>585</v>
      </c>
      <c r="H535" s="76">
        <v>46149</v>
      </c>
      <c r="I535" s="65">
        <v>0</v>
      </c>
      <c r="J535" s="82">
        <v>4700</v>
      </c>
      <c r="K535" s="70" t="s">
        <v>34</v>
      </c>
      <c r="L535" s="65">
        <v>0</v>
      </c>
      <c r="M535" s="82" t="s">
        <v>58</v>
      </c>
      <c r="N535" s="37">
        <f ca="1" t="shared" si="30"/>
        <v>3.43333333333333</v>
      </c>
      <c r="O535" s="71">
        <v>46327</v>
      </c>
      <c r="P535" s="65">
        <v>4700</v>
      </c>
      <c r="Q535" s="66" t="s">
        <v>53</v>
      </c>
      <c r="R535" s="82" t="s">
        <v>760</v>
      </c>
      <c r="S535" s="5"/>
    </row>
    <row r="536" ht="43.2" spans="1:20">
      <c r="A536" s="65">
        <v>639</v>
      </c>
      <c r="B536" s="66" t="s">
        <v>28</v>
      </c>
      <c r="C536" s="79" t="s">
        <v>93</v>
      </c>
      <c r="D536" s="79" t="s">
        <v>142</v>
      </c>
      <c r="E536" s="67" t="s">
        <v>31</v>
      </c>
      <c r="F536" s="57" t="s">
        <v>568</v>
      </c>
      <c r="G536" s="114" t="s">
        <v>585</v>
      </c>
      <c r="H536" s="76">
        <v>46149</v>
      </c>
      <c r="I536" s="65">
        <v>0</v>
      </c>
      <c r="J536" s="82">
        <v>13160</v>
      </c>
      <c r="K536" s="70" t="s">
        <v>34</v>
      </c>
      <c r="L536" s="65">
        <v>0</v>
      </c>
      <c r="M536" s="82" t="s">
        <v>42</v>
      </c>
      <c r="N536" s="37">
        <f ca="1" t="shared" si="30"/>
        <v>3.43333333333333</v>
      </c>
      <c r="O536" s="71">
        <v>46327</v>
      </c>
      <c r="P536" s="65">
        <v>13160</v>
      </c>
      <c r="Q536" s="66" t="s">
        <v>53</v>
      </c>
      <c r="R536" s="82" t="s">
        <v>761</v>
      </c>
      <c r="S536" s="5"/>
    </row>
    <row r="537" ht="43.2" spans="1:20">
      <c r="A537" s="65">
        <v>651</v>
      </c>
      <c r="B537" s="79" t="s">
        <v>28</v>
      </c>
      <c r="C537" s="79" t="s">
        <v>93</v>
      </c>
      <c r="D537" s="79" t="s">
        <v>142</v>
      </c>
      <c r="E537" s="67" t="s">
        <v>31</v>
      </c>
      <c r="F537" s="57" t="s">
        <v>568</v>
      </c>
      <c r="G537" s="114" t="s">
        <v>585</v>
      </c>
      <c r="H537" s="76">
        <v>46149</v>
      </c>
      <c r="I537" s="65">
        <v>0</v>
      </c>
      <c r="J537" s="82">
        <v>8554</v>
      </c>
      <c r="K537" s="70" t="s">
        <v>34</v>
      </c>
      <c r="L537" s="65">
        <v>0</v>
      </c>
      <c r="M537" s="82" t="s">
        <v>79</v>
      </c>
      <c r="N537" s="37">
        <f ca="1" t="shared" si="30"/>
        <v>3.43333333333333</v>
      </c>
      <c r="O537" s="71">
        <v>46327</v>
      </c>
      <c r="P537" s="65">
        <v>8554</v>
      </c>
      <c r="Q537" s="66" t="s">
        <v>53</v>
      </c>
      <c r="R537" s="82" t="s">
        <v>762</v>
      </c>
      <c r="S537" s="5"/>
    </row>
    <row r="538" ht="57.6" spans="1:20">
      <c r="A538" s="65">
        <v>615</v>
      </c>
      <c r="B538" s="66" t="s">
        <v>28</v>
      </c>
      <c r="C538" s="79" t="s">
        <v>124</v>
      </c>
      <c r="D538" s="79" t="s">
        <v>168</v>
      </c>
      <c r="E538" s="67" t="s">
        <v>31</v>
      </c>
      <c r="F538" s="57" t="s">
        <v>763</v>
      </c>
      <c r="G538" s="80" t="s">
        <v>764</v>
      </c>
      <c r="H538" s="76">
        <v>46149</v>
      </c>
      <c r="I538" s="65"/>
      <c r="J538" s="82">
        <v>2550</v>
      </c>
      <c r="K538" s="70"/>
      <c r="L538" s="65"/>
      <c r="M538" s="82" t="s">
        <v>47</v>
      </c>
      <c r="N538" s="37">
        <f ca="1" t="shared" si="30"/>
        <v>3.43333333333333</v>
      </c>
      <c r="O538" s="71">
        <v>46357</v>
      </c>
      <c r="P538" s="65">
        <v>2550</v>
      </c>
      <c r="Q538" s="66" t="s">
        <v>53</v>
      </c>
      <c r="R538" s="82" t="s">
        <v>765</v>
      </c>
      <c r="S538" s="5"/>
    </row>
    <row r="539" ht="57.6" spans="1:20">
      <c r="A539" s="65">
        <v>619</v>
      </c>
      <c r="B539" s="79" t="s">
        <v>28</v>
      </c>
      <c r="C539" s="79" t="s">
        <v>124</v>
      </c>
      <c r="D539" s="79" t="s">
        <v>168</v>
      </c>
      <c r="E539" s="67" t="s">
        <v>31</v>
      </c>
      <c r="F539" s="57" t="s">
        <v>763</v>
      </c>
      <c r="G539" s="80" t="s">
        <v>764</v>
      </c>
      <c r="H539" s="76">
        <v>46149</v>
      </c>
      <c r="I539" s="65"/>
      <c r="J539" s="82">
        <v>2550</v>
      </c>
      <c r="K539" s="70"/>
      <c r="L539" s="65"/>
      <c r="M539" s="82" t="s">
        <v>47</v>
      </c>
      <c r="N539" s="37">
        <f ca="1" t="shared" si="30"/>
        <v>3.43333333333333</v>
      </c>
      <c r="O539" s="71">
        <v>46357</v>
      </c>
      <c r="P539" s="65">
        <v>2550</v>
      </c>
      <c r="Q539" s="66" t="s">
        <v>53</v>
      </c>
      <c r="R539" s="82" t="s">
        <v>766</v>
      </c>
      <c r="S539" s="5"/>
    </row>
    <row r="540" ht="57.6" spans="1:20">
      <c r="A540" s="65">
        <v>623</v>
      </c>
      <c r="B540" s="66" t="s">
        <v>28</v>
      </c>
      <c r="C540" s="79" t="s">
        <v>124</v>
      </c>
      <c r="D540" s="79" t="s">
        <v>168</v>
      </c>
      <c r="E540" s="67" t="s">
        <v>31</v>
      </c>
      <c r="F540" s="57" t="s">
        <v>763</v>
      </c>
      <c r="G540" s="80" t="s">
        <v>764</v>
      </c>
      <c r="H540" s="76">
        <v>46149</v>
      </c>
      <c r="I540" s="65"/>
      <c r="J540" s="82">
        <v>5610</v>
      </c>
      <c r="K540" s="70"/>
      <c r="L540" s="65"/>
      <c r="M540" s="82" t="s">
        <v>58</v>
      </c>
      <c r="N540" s="37">
        <f ca="1" t="shared" si="30"/>
        <v>3.43333333333333</v>
      </c>
      <c r="O540" s="71">
        <v>46357</v>
      </c>
      <c r="P540" s="65">
        <v>5610</v>
      </c>
      <c r="Q540" s="66" t="s">
        <v>53</v>
      </c>
      <c r="R540" s="82" t="s">
        <v>767</v>
      </c>
      <c r="S540" s="5"/>
    </row>
    <row r="541" ht="57.6" spans="1:20">
      <c r="A541" s="65">
        <v>626</v>
      </c>
      <c r="B541" s="79" t="s">
        <v>28</v>
      </c>
      <c r="C541" s="79" t="s">
        <v>124</v>
      </c>
      <c r="D541" s="79" t="s">
        <v>168</v>
      </c>
      <c r="E541" s="67" t="s">
        <v>31</v>
      </c>
      <c r="F541" s="57" t="s">
        <v>763</v>
      </c>
      <c r="G541" s="80" t="s">
        <v>764</v>
      </c>
      <c r="H541" s="76">
        <v>46149</v>
      </c>
      <c r="I541" s="65"/>
      <c r="J541" s="82">
        <v>2550</v>
      </c>
      <c r="K541" s="70"/>
      <c r="L541" s="65"/>
      <c r="M541" s="82" t="s">
        <v>47</v>
      </c>
      <c r="N541" s="37">
        <f ca="1" t="shared" si="30"/>
        <v>3.43333333333333</v>
      </c>
      <c r="O541" s="71">
        <v>46357</v>
      </c>
      <c r="P541" s="65">
        <v>2550</v>
      </c>
      <c r="Q541" s="66" t="s">
        <v>53</v>
      </c>
      <c r="R541" s="82" t="s">
        <v>768</v>
      </c>
      <c r="S541" s="5"/>
    </row>
    <row r="542" ht="57.6" spans="1:20">
      <c r="A542" s="65">
        <v>640</v>
      </c>
      <c r="B542" s="79" t="s">
        <v>28</v>
      </c>
      <c r="C542" s="79" t="s">
        <v>124</v>
      </c>
      <c r="D542" s="79" t="s">
        <v>168</v>
      </c>
      <c r="E542" s="67" t="s">
        <v>31</v>
      </c>
      <c r="F542" s="57" t="s">
        <v>763</v>
      </c>
      <c r="G542" s="80" t="s">
        <v>764</v>
      </c>
      <c r="H542" s="76">
        <v>46149</v>
      </c>
      <c r="I542" s="65"/>
      <c r="J542" s="82">
        <v>2550</v>
      </c>
      <c r="K542" s="70"/>
      <c r="L542" s="65"/>
      <c r="M542" s="82" t="s">
        <v>47</v>
      </c>
      <c r="N542" s="37">
        <f ca="1" t="shared" si="30"/>
        <v>3.43333333333333</v>
      </c>
      <c r="O542" s="71">
        <v>46357</v>
      </c>
      <c r="P542" s="65">
        <v>2550</v>
      </c>
      <c r="Q542" s="66" t="s">
        <v>53</v>
      </c>
      <c r="R542" s="82" t="s">
        <v>769</v>
      </c>
      <c r="S542" s="5"/>
    </row>
    <row r="543" ht="43.2" spans="1:20">
      <c r="A543" s="65">
        <v>644</v>
      </c>
      <c r="B543" s="66" t="s">
        <v>28</v>
      </c>
      <c r="C543" s="79" t="s">
        <v>93</v>
      </c>
      <c r="D543" s="79" t="s">
        <v>142</v>
      </c>
      <c r="E543" s="67" t="s">
        <v>31</v>
      </c>
      <c r="F543" s="57" t="s">
        <v>568</v>
      </c>
      <c r="G543" s="114" t="s">
        <v>585</v>
      </c>
      <c r="H543" s="76">
        <v>46150</v>
      </c>
      <c r="I543" s="65">
        <v>0</v>
      </c>
      <c r="J543" s="82">
        <v>6063</v>
      </c>
      <c r="K543" s="70" t="s">
        <v>34</v>
      </c>
      <c r="L543" s="65">
        <v>0</v>
      </c>
      <c r="M543" s="82" t="s">
        <v>42</v>
      </c>
      <c r="N543" s="37">
        <f ca="1" t="shared" si="30"/>
        <v>3.4</v>
      </c>
      <c r="O543" s="71">
        <v>46327</v>
      </c>
      <c r="P543" s="65">
        <v>6063</v>
      </c>
      <c r="Q543" s="66" t="s">
        <v>53</v>
      </c>
      <c r="R543" s="82" t="s">
        <v>770</v>
      </c>
      <c r="S543" s="5"/>
    </row>
    <row r="544" ht="43.2" spans="1:20">
      <c r="A544" s="65">
        <v>637</v>
      </c>
      <c r="B544" s="79" t="s">
        <v>28</v>
      </c>
      <c r="C544" s="79" t="s">
        <v>456</v>
      </c>
      <c r="D544" s="79" t="s">
        <v>142</v>
      </c>
      <c r="E544" s="67"/>
      <c r="F544" s="67"/>
      <c r="G544" s="80"/>
      <c r="H544" s="76">
        <v>46153</v>
      </c>
      <c r="I544" s="65"/>
      <c r="J544" s="82">
        <v>8120</v>
      </c>
      <c r="K544" s="70"/>
      <c r="L544" s="65"/>
      <c r="M544" s="82" t="s">
        <v>42</v>
      </c>
      <c r="N544" s="37">
        <f ca="1" t="shared" si="30"/>
        <v>3.3</v>
      </c>
      <c r="O544" s="70"/>
      <c r="P544" s="65">
        <v>8120</v>
      </c>
      <c r="Q544" s="66"/>
      <c r="R544" s="82" t="s">
        <v>771</v>
      </c>
      <c r="S544" s="5"/>
    </row>
    <row r="545" ht="43.2" spans="1:19">
      <c r="A545" s="65">
        <v>641</v>
      </c>
      <c r="B545" s="66" t="s">
        <v>28</v>
      </c>
      <c r="C545" s="79" t="s">
        <v>456</v>
      </c>
      <c r="D545" s="79" t="s">
        <v>142</v>
      </c>
      <c r="E545" s="67"/>
      <c r="F545" s="67"/>
      <c r="G545" s="80"/>
      <c r="H545" s="76">
        <v>46153</v>
      </c>
      <c r="I545" s="65"/>
      <c r="J545" s="82">
        <v>35000</v>
      </c>
      <c r="K545" s="70"/>
      <c r="L545" s="65"/>
      <c r="M545" s="82" t="s">
        <v>47</v>
      </c>
      <c r="N545" s="37">
        <f ca="1" t="shared" si="30"/>
        <v>3.3</v>
      </c>
      <c r="O545" s="70"/>
      <c r="P545" s="65">
        <v>35000</v>
      </c>
      <c r="Q545" s="66"/>
      <c r="R545" s="82" t="s">
        <v>772</v>
      </c>
      <c r="S545" s="5"/>
    </row>
    <row r="546" ht="43.2" spans="1:19">
      <c r="A546" s="65">
        <v>643</v>
      </c>
      <c r="B546" s="79" t="s">
        <v>28</v>
      </c>
      <c r="C546" s="79" t="s">
        <v>456</v>
      </c>
      <c r="D546" s="79" t="s">
        <v>142</v>
      </c>
      <c r="E546" s="67"/>
      <c r="F546" s="67"/>
      <c r="G546" s="80"/>
      <c r="H546" s="76">
        <v>46153</v>
      </c>
      <c r="I546" s="65"/>
      <c r="J546" s="82">
        <v>12000</v>
      </c>
      <c r="K546" s="70"/>
      <c r="L546" s="65"/>
      <c r="M546" s="82" t="s">
        <v>42</v>
      </c>
      <c r="N546" s="37">
        <f ca="1" t="shared" si="30"/>
        <v>3.3</v>
      </c>
      <c r="O546" s="70"/>
      <c r="P546" s="65">
        <v>12000</v>
      </c>
      <c r="Q546" s="66"/>
      <c r="R546" s="82" t="s">
        <v>773</v>
      </c>
      <c r="S546" s="5"/>
    </row>
    <row r="547" ht="57.6" spans="1:19">
      <c r="A547" s="65">
        <v>624</v>
      </c>
      <c r="B547" s="79" t="s">
        <v>28</v>
      </c>
      <c r="C547" s="79" t="s">
        <v>774</v>
      </c>
      <c r="D547" s="79" t="s">
        <v>57</v>
      </c>
      <c r="E547" s="67"/>
      <c r="F547" s="67"/>
      <c r="G547" s="80"/>
      <c r="H547" s="76">
        <v>46153</v>
      </c>
      <c r="I547" s="65"/>
      <c r="J547" s="82">
        <v>5325</v>
      </c>
      <c r="K547" s="70"/>
      <c r="L547" s="65"/>
      <c r="M547" s="82" t="s">
        <v>79</v>
      </c>
      <c r="N547" s="37">
        <f ca="1" t="shared" si="30"/>
        <v>3.3</v>
      </c>
      <c r="O547" s="70"/>
      <c r="P547" s="65">
        <v>5325</v>
      </c>
      <c r="Q547" s="66"/>
      <c r="R547" s="82" t="s">
        <v>775</v>
      </c>
      <c r="S547" s="5"/>
    </row>
    <row r="548" ht="57.6" spans="1:19">
      <c r="A548" s="65">
        <v>647</v>
      </c>
      <c r="B548" s="66" t="s">
        <v>28</v>
      </c>
      <c r="C548" s="79" t="s">
        <v>774</v>
      </c>
      <c r="D548" s="79" t="s">
        <v>57</v>
      </c>
      <c r="E548" s="67"/>
      <c r="F548" s="67"/>
      <c r="G548" s="80"/>
      <c r="H548" s="76">
        <v>46153</v>
      </c>
      <c r="I548" s="65"/>
      <c r="J548" s="82">
        <v>5325</v>
      </c>
      <c r="K548" s="70"/>
      <c r="L548" s="65"/>
      <c r="M548" s="82" t="s">
        <v>79</v>
      </c>
      <c r="N548" s="37">
        <f ca="1" t="shared" si="30"/>
        <v>3.3</v>
      </c>
      <c r="O548" s="70"/>
      <c r="P548" s="65">
        <v>5325</v>
      </c>
      <c r="Q548" s="66"/>
      <c r="R548" s="82" t="s">
        <v>776</v>
      </c>
      <c r="S548" s="5"/>
    </row>
    <row r="549" ht="43.2" spans="1:19">
      <c r="A549" s="65">
        <v>621</v>
      </c>
      <c r="B549" s="79" t="s">
        <v>28</v>
      </c>
      <c r="C549" s="79" t="s">
        <v>93</v>
      </c>
      <c r="D549" s="79" t="s">
        <v>57</v>
      </c>
      <c r="E549" s="67" t="s">
        <v>31</v>
      </c>
      <c r="F549" s="57" t="s">
        <v>568</v>
      </c>
      <c r="G549" s="114" t="s">
        <v>585</v>
      </c>
      <c r="H549" s="76">
        <v>46153</v>
      </c>
      <c r="I549" s="65">
        <v>0</v>
      </c>
      <c r="J549" s="82">
        <v>4240</v>
      </c>
      <c r="K549" s="70" t="s">
        <v>34</v>
      </c>
      <c r="L549" s="65">
        <v>0</v>
      </c>
      <c r="M549" s="82" t="s">
        <v>42</v>
      </c>
      <c r="N549" s="37">
        <f ca="1" t="shared" si="30"/>
        <v>3.3</v>
      </c>
      <c r="O549" s="71">
        <v>46327</v>
      </c>
      <c r="P549" s="65">
        <v>4240</v>
      </c>
      <c r="Q549" s="66" t="s">
        <v>53</v>
      </c>
      <c r="R549" s="82" t="s">
        <v>777</v>
      </c>
      <c r="S549" s="5"/>
    </row>
    <row r="550" ht="43.2" spans="1:19">
      <c r="A550" s="65">
        <v>650</v>
      </c>
      <c r="B550" s="79" t="s">
        <v>28</v>
      </c>
      <c r="C550" s="79" t="s">
        <v>93</v>
      </c>
      <c r="D550" s="79" t="s">
        <v>142</v>
      </c>
      <c r="E550" s="67" t="s">
        <v>31</v>
      </c>
      <c r="F550" s="57" t="s">
        <v>568</v>
      </c>
      <c r="G550" s="114" t="s">
        <v>585</v>
      </c>
      <c r="H550" s="76">
        <v>46153</v>
      </c>
      <c r="I550" s="65">
        <v>0</v>
      </c>
      <c r="J550" s="82">
        <v>3290</v>
      </c>
      <c r="K550" s="70" t="s">
        <v>34</v>
      </c>
      <c r="L550" s="65">
        <v>0</v>
      </c>
      <c r="M550" s="82" t="s">
        <v>47</v>
      </c>
      <c r="N550" s="37">
        <f ca="1" t="shared" si="30"/>
        <v>3.3</v>
      </c>
      <c r="O550" s="71">
        <v>46327</v>
      </c>
      <c r="P550" s="65">
        <v>3290</v>
      </c>
      <c r="Q550" s="66" t="s">
        <v>53</v>
      </c>
      <c r="R550" s="82" t="s">
        <v>778</v>
      </c>
      <c r="S550" s="5"/>
    </row>
    <row r="551" ht="57.6" spans="1:19">
      <c r="A551" s="65">
        <v>620</v>
      </c>
      <c r="B551" s="66" t="s">
        <v>28</v>
      </c>
      <c r="C551" s="79" t="s">
        <v>124</v>
      </c>
      <c r="D551" s="79" t="s">
        <v>168</v>
      </c>
      <c r="E551" s="67" t="s">
        <v>31</v>
      </c>
      <c r="F551" s="57" t="s">
        <v>763</v>
      </c>
      <c r="G551" s="80" t="s">
        <v>764</v>
      </c>
      <c r="H551" s="76">
        <v>46153</v>
      </c>
      <c r="I551" s="65"/>
      <c r="J551" s="82">
        <v>7691</v>
      </c>
      <c r="K551" s="70"/>
      <c r="L551" s="65"/>
      <c r="M551" s="82" t="s">
        <v>35</v>
      </c>
      <c r="N551" s="37">
        <f ca="1" t="shared" si="30"/>
        <v>3.3</v>
      </c>
      <c r="O551" s="71">
        <v>46357</v>
      </c>
      <c r="P551" s="65">
        <v>7691</v>
      </c>
      <c r="Q551" s="66" t="s">
        <v>53</v>
      </c>
      <c r="R551" s="82" t="s">
        <v>779</v>
      </c>
      <c r="S551" s="5"/>
    </row>
    <row r="552" ht="43.2" spans="1:19">
      <c r="A552" s="65">
        <v>622</v>
      </c>
      <c r="B552" s="79" t="s">
        <v>28</v>
      </c>
      <c r="C552" s="79" t="s">
        <v>456</v>
      </c>
      <c r="D552" s="79" t="s">
        <v>142</v>
      </c>
      <c r="E552" s="67"/>
      <c r="F552" s="67"/>
      <c r="G552" s="80"/>
      <c r="H552" s="76">
        <v>46154</v>
      </c>
      <c r="I552" s="65"/>
      <c r="J552" s="82">
        <v>11600</v>
      </c>
      <c r="K552" s="70"/>
      <c r="L552" s="65"/>
      <c r="M552" s="82" t="s">
        <v>79</v>
      </c>
      <c r="N552" s="37">
        <f ca="1" t="shared" si="30"/>
        <v>3.26666666666667</v>
      </c>
      <c r="O552" s="70"/>
      <c r="P552" s="65">
        <v>11600</v>
      </c>
      <c r="Q552" s="66"/>
      <c r="R552" s="82" t="s">
        <v>780</v>
      </c>
      <c r="S552" s="5"/>
    </row>
    <row r="553" ht="43.2" spans="1:19">
      <c r="A553" s="65">
        <v>616</v>
      </c>
      <c r="B553" s="79" t="s">
        <v>28</v>
      </c>
      <c r="C553" s="79" t="s">
        <v>49</v>
      </c>
      <c r="D553" s="79" t="s">
        <v>142</v>
      </c>
      <c r="E553" s="67" t="s">
        <v>31</v>
      </c>
      <c r="F553" s="67" t="s">
        <v>241</v>
      </c>
      <c r="G553" s="80" t="s">
        <v>290</v>
      </c>
      <c r="H553" s="76">
        <v>46154</v>
      </c>
      <c r="I553" s="65"/>
      <c r="J553" s="82">
        <v>11016</v>
      </c>
      <c r="K553" s="70"/>
      <c r="L553" s="65"/>
      <c r="M553" s="82" t="s">
        <v>42</v>
      </c>
      <c r="N553" s="37">
        <f ca="1" t="shared" si="30"/>
        <v>3.26666666666667</v>
      </c>
      <c r="O553" s="57" t="s">
        <v>52</v>
      </c>
      <c r="P553" s="65">
        <v>11016</v>
      </c>
      <c r="Q553" s="66" t="s">
        <v>53</v>
      </c>
      <c r="R553" s="82" t="s">
        <v>781</v>
      </c>
      <c r="S553" s="5"/>
    </row>
    <row r="554" ht="43.2" spans="1:19">
      <c r="A554" s="65">
        <v>648</v>
      </c>
      <c r="B554" s="79" t="s">
        <v>28</v>
      </c>
      <c r="C554" s="79" t="s">
        <v>49</v>
      </c>
      <c r="D554" s="79" t="s">
        <v>142</v>
      </c>
      <c r="E554" s="67" t="s">
        <v>31</v>
      </c>
      <c r="F554" s="67" t="s">
        <v>241</v>
      </c>
      <c r="G554" s="80" t="s">
        <v>290</v>
      </c>
      <c r="H554" s="76">
        <v>46157</v>
      </c>
      <c r="I554" s="65"/>
      <c r="J554" s="82">
        <v>19067</v>
      </c>
      <c r="K554" s="70"/>
      <c r="L554" s="65"/>
      <c r="M554" s="82" t="s">
        <v>42</v>
      </c>
      <c r="N554" s="37">
        <f ca="1" t="shared" si="30"/>
        <v>3.16666666666667</v>
      </c>
      <c r="O554" s="57" t="s">
        <v>52</v>
      </c>
      <c r="P554" s="65">
        <v>19067</v>
      </c>
      <c r="Q554" s="66" t="s">
        <v>53</v>
      </c>
      <c r="R554" s="82" t="s">
        <v>782</v>
      </c>
      <c r="S554" s="5"/>
    </row>
    <row r="555" ht="43.2" spans="1:19">
      <c r="A555" s="65">
        <v>627</v>
      </c>
      <c r="B555" s="79" t="s">
        <v>28</v>
      </c>
      <c r="C555" s="79" t="s">
        <v>49</v>
      </c>
      <c r="D555" s="79" t="s">
        <v>142</v>
      </c>
      <c r="E555" s="67" t="s">
        <v>31</v>
      </c>
      <c r="F555" s="67" t="s">
        <v>241</v>
      </c>
      <c r="G555" s="80" t="s">
        <v>290</v>
      </c>
      <c r="H555" s="76">
        <v>46161</v>
      </c>
      <c r="I555" s="65"/>
      <c r="J555" s="82">
        <v>6779</v>
      </c>
      <c r="K555" s="70"/>
      <c r="L555" s="65"/>
      <c r="M555" s="82" t="s">
        <v>42</v>
      </c>
      <c r="N555" s="37">
        <f ca="1" t="shared" si="30"/>
        <v>3.03333333333333</v>
      </c>
      <c r="O555" s="57" t="s">
        <v>52</v>
      </c>
      <c r="P555" s="65">
        <v>6779</v>
      </c>
      <c r="Q555" s="66" t="s">
        <v>53</v>
      </c>
      <c r="R555" s="82" t="s">
        <v>783</v>
      </c>
      <c r="S555" s="5"/>
    </row>
    <row r="556" ht="43.2" spans="1:19">
      <c r="A556" s="65">
        <v>645</v>
      </c>
      <c r="B556" s="79" t="s">
        <v>28</v>
      </c>
      <c r="C556" s="79" t="s">
        <v>49</v>
      </c>
      <c r="D556" s="79" t="s">
        <v>57</v>
      </c>
      <c r="E556" s="67"/>
      <c r="F556" s="67"/>
      <c r="G556" s="80"/>
      <c r="H556" s="76">
        <v>46161</v>
      </c>
      <c r="I556" s="65"/>
      <c r="J556" s="82">
        <v>8120</v>
      </c>
      <c r="K556" s="70"/>
      <c r="L556" s="65"/>
      <c r="M556" s="82" t="s">
        <v>35</v>
      </c>
      <c r="N556" s="37">
        <f ca="1" t="shared" si="30"/>
        <v>3.03333333333333</v>
      </c>
      <c r="O556" s="57" t="s">
        <v>52</v>
      </c>
      <c r="P556" s="65">
        <v>8120</v>
      </c>
      <c r="Q556" s="66" t="s">
        <v>681</v>
      </c>
      <c r="R556" s="82" t="s">
        <v>784</v>
      </c>
      <c r="S556" s="5"/>
    </row>
    <row r="557" ht="57.6" spans="1:19">
      <c r="A557" s="65">
        <v>632</v>
      </c>
      <c r="B557" s="79" t="s">
        <v>28</v>
      </c>
      <c r="C557" s="79" t="s">
        <v>124</v>
      </c>
      <c r="D557" s="79" t="s">
        <v>168</v>
      </c>
      <c r="E557" s="67" t="s">
        <v>31</v>
      </c>
      <c r="F557" s="57" t="s">
        <v>763</v>
      </c>
      <c r="G557" s="80" t="s">
        <v>764</v>
      </c>
      <c r="H557" s="76">
        <v>46161</v>
      </c>
      <c r="I557" s="65"/>
      <c r="J557" s="82">
        <v>2703</v>
      </c>
      <c r="K557" s="70"/>
      <c r="L557" s="65"/>
      <c r="M557" s="82" t="s">
        <v>42</v>
      </c>
      <c r="N557" s="37">
        <f ca="1" t="shared" si="30"/>
        <v>3.03333333333333</v>
      </c>
      <c r="O557" s="71">
        <v>46357</v>
      </c>
      <c r="P557" s="65">
        <v>2703</v>
      </c>
      <c r="Q557" s="66" t="s">
        <v>53</v>
      </c>
      <c r="R557" s="82" t="s">
        <v>785</v>
      </c>
      <c r="S557" s="5"/>
    </row>
    <row r="558" ht="43.2" spans="1:19">
      <c r="A558" s="65">
        <v>633</v>
      </c>
      <c r="B558" s="66" t="s">
        <v>28</v>
      </c>
      <c r="C558" s="79" t="s">
        <v>552</v>
      </c>
      <c r="D558" s="79" t="s">
        <v>57</v>
      </c>
      <c r="E558" s="79" t="s">
        <v>31</v>
      </c>
      <c r="F558" s="79" t="s">
        <v>553</v>
      </c>
      <c r="G558" s="113" t="s">
        <v>554</v>
      </c>
      <c r="H558" s="76">
        <v>46164</v>
      </c>
      <c r="I558" s="65"/>
      <c r="J558" s="82">
        <v>7400</v>
      </c>
      <c r="K558" s="70" t="s">
        <v>34</v>
      </c>
      <c r="L558" s="65">
        <v>0</v>
      </c>
      <c r="M558" s="82" t="s">
        <v>79</v>
      </c>
      <c r="N558" s="37">
        <f ca="1" t="shared" si="30"/>
        <v>2.93333333333333</v>
      </c>
      <c r="O558" s="71">
        <v>46204</v>
      </c>
      <c r="P558" s="65">
        <v>7400</v>
      </c>
      <c r="Q558" s="66" t="s">
        <v>555</v>
      </c>
      <c r="R558" s="82" t="s">
        <v>786</v>
      </c>
      <c r="S558" s="58" t="s">
        <v>103</v>
      </c>
    </row>
    <row r="559" ht="43.2" spans="1:19">
      <c r="A559" s="65">
        <v>634</v>
      </c>
      <c r="B559" s="79" t="s">
        <v>28</v>
      </c>
      <c r="C559" s="79" t="s">
        <v>49</v>
      </c>
      <c r="D559" s="79" t="s">
        <v>57</v>
      </c>
      <c r="E559" s="67"/>
      <c r="F559" s="67"/>
      <c r="G559" s="80"/>
      <c r="H559" s="76">
        <v>46164</v>
      </c>
      <c r="I559" s="65"/>
      <c r="J559" s="82">
        <v>11923</v>
      </c>
      <c r="K559" s="70"/>
      <c r="L559" s="65"/>
      <c r="M559" s="82" t="s">
        <v>58</v>
      </c>
      <c r="N559" s="37">
        <f ca="1" t="shared" si="30"/>
        <v>2.93333333333333</v>
      </c>
      <c r="O559" s="57" t="s">
        <v>52</v>
      </c>
      <c r="P559" s="65">
        <v>11923</v>
      </c>
      <c r="Q559" s="66" t="s">
        <v>681</v>
      </c>
      <c r="R559" s="82" t="s">
        <v>787</v>
      </c>
      <c r="S559" s="5"/>
    </row>
    <row r="560" ht="43.2" spans="1:19">
      <c r="A560" s="65">
        <v>628</v>
      </c>
      <c r="B560" s="66" t="s">
        <v>28</v>
      </c>
      <c r="C560" s="79" t="s">
        <v>93</v>
      </c>
      <c r="D560" s="79" t="s">
        <v>142</v>
      </c>
      <c r="E560" s="67" t="s">
        <v>31</v>
      </c>
      <c r="F560" s="57" t="s">
        <v>568</v>
      </c>
      <c r="G560" s="114" t="s">
        <v>585</v>
      </c>
      <c r="H560" s="76">
        <v>46164</v>
      </c>
      <c r="I560" s="65">
        <v>0</v>
      </c>
      <c r="J560" s="82">
        <v>5640</v>
      </c>
      <c r="K560" s="70" t="s">
        <v>34</v>
      </c>
      <c r="L560" s="65">
        <v>0</v>
      </c>
      <c r="M560" s="82" t="s">
        <v>47</v>
      </c>
      <c r="N560" s="37">
        <f ca="1" t="shared" si="30"/>
        <v>2.93333333333333</v>
      </c>
      <c r="O560" s="71">
        <v>46327</v>
      </c>
      <c r="P560" s="65">
        <v>5640</v>
      </c>
      <c r="Q560" s="66" t="s">
        <v>53</v>
      </c>
      <c r="R560" s="82" t="s">
        <v>788</v>
      </c>
      <c r="S560" s="5"/>
    </row>
    <row r="561" ht="43.2" spans="1:20">
      <c r="A561" s="65">
        <v>646</v>
      </c>
      <c r="B561" s="79" t="s">
        <v>28</v>
      </c>
      <c r="C561" s="79" t="s">
        <v>456</v>
      </c>
      <c r="D561" s="79" t="s">
        <v>142</v>
      </c>
      <c r="E561" s="67"/>
      <c r="F561" s="67"/>
      <c r="G561" s="80"/>
      <c r="H561" s="76">
        <v>46167</v>
      </c>
      <c r="I561" s="65"/>
      <c r="J561" s="82">
        <v>14160</v>
      </c>
      <c r="K561" s="70"/>
      <c r="L561" s="65"/>
      <c r="M561" s="82" t="s">
        <v>47</v>
      </c>
      <c r="N561" s="37">
        <f ca="1" t="shared" si="30"/>
        <v>2.83333333333333</v>
      </c>
      <c r="O561" s="70"/>
      <c r="P561" s="65">
        <v>14160</v>
      </c>
      <c r="Q561" s="66"/>
      <c r="R561" s="82" t="s">
        <v>789</v>
      </c>
      <c r="S561" s="5"/>
    </row>
    <row r="562" ht="43.2" spans="1:20">
      <c r="A562" s="65">
        <v>630</v>
      </c>
      <c r="B562" s="79" t="s">
        <v>28</v>
      </c>
      <c r="C562" s="79" t="s">
        <v>93</v>
      </c>
      <c r="D562" s="79" t="s">
        <v>142</v>
      </c>
      <c r="E562" s="67" t="s">
        <v>31</v>
      </c>
      <c r="F562" s="57" t="s">
        <v>568</v>
      </c>
      <c r="G562" s="114" t="s">
        <v>585</v>
      </c>
      <c r="H562" s="76">
        <v>46167</v>
      </c>
      <c r="I562" s="65">
        <v>0</v>
      </c>
      <c r="J562" s="82">
        <v>4465</v>
      </c>
      <c r="K562" s="70" t="s">
        <v>34</v>
      </c>
      <c r="L562" s="65">
        <v>0</v>
      </c>
      <c r="M562" s="82" t="s">
        <v>35</v>
      </c>
      <c r="N562" s="37">
        <f ca="1" t="shared" si="30"/>
        <v>2.83333333333333</v>
      </c>
      <c r="O562" s="71">
        <v>46327</v>
      </c>
      <c r="P562" s="65">
        <v>4465</v>
      </c>
      <c r="Q562" s="66" t="s">
        <v>53</v>
      </c>
      <c r="R562" s="82" t="s">
        <v>790</v>
      </c>
      <c r="S562" s="5"/>
    </row>
    <row r="563" ht="43.2" spans="1:20">
      <c r="A563" s="65">
        <v>631</v>
      </c>
      <c r="B563" s="66" t="s">
        <v>28</v>
      </c>
      <c r="C563" s="79" t="s">
        <v>93</v>
      </c>
      <c r="D563" s="79" t="s">
        <v>142</v>
      </c>
      <c r="E563" s="67" t="s">
        <v>31</v>
      </c>
      <c r="F563" s="57" t="s">
        <v>568</v>
      </c>
      <c r="G563" s="114" t="s">
        <v>585</v>
      </c>
      <c r="H563" s="76">
        <v>46167</v>
      </c>
      <c r="I563" s="65">
        <v>0</v>
      </c>
      <c r="J563" s="82">
        <v>4700</v>
      </c>
      <c r="K563" s="70" t="s">
        <v>34</v>
      </c>
      <c r="L563" s="65">
        <v>0</v>
      </c>
      <c r="M563" s="82" t="s">
        <v>42</v>
      </c>
      <c r="N563" s="37">
        <f ca="1" t="shared" si="30"/>
        <v>2.83333333333333</v>
      </c>
      <c r="O563" s="71">
        <v>46327</v>
      </c>
      <c r="P563" s="65">
        <v>4700</v>
      </c>
      <c r="Q563" s="66" t="s">
        <v>53</v>
      </c>
      <c r="R563" s="82" t="s">
        <v>791</v>
      </c>
      <c r="S563" s="5"/>
    </row>
    <row r="564" ht="57.6" spans="1:20">
      <c r="A564" s="65">
        <v>629</v>
      </c>
      <c r="B564" s="79" t="s">
        <v>28</v>
      </c>
      <c r="C564" s="79" t="s">
        <v>666</v>
      </c>
      <c r="D564" s="79" t="s">
        <v>142</v>
      </c>
      <c r="E564" s="67"/>
      <c r="F564" s="67"/>
      <c r="G564" s="80"/>
      <c r="H564" s="76">
        <v>46167</v>
      </c>
      <c r="I564" s="65"/>
      <c r="J564" s="82">
        <v>10120</v>
      </c>
      <c r="K564" s="70"/>
      <c r="L564" s="65"/>
      <c r="M564" s="82" t="s">
        <v>42</v>
      </c>
      <c r="N564" s="37">
        <f ca="1" t="shared" si="30"/>
        <v>2.83333333333333</v>
      </c>
      <c r="O564" s="70"/>
      <c r="P564" s="65">
        <v>10120</v>
      </c>
      <c r="Q564" s="66"/>
      <c r="R564" s="82" t="s">
        <v>792</v>
      </c>
      <c r="S564" s="5" t="s">
        <v>103</v>
      </c>
    </row>
    <row r="565" ht="43.2" spans="1:20">
      <c r="A565" s="41">
        <v>3</v>
      </c>
      <c r="B565" s="42" t="s">
        <v>28</v>
      </c>
      <c r="C565" s="42" t="s">
        <v>793</v>
      </c>
      <c r="D565" s="43" t="s">
        <v>40</v>
      </c>
      <c r="E565" s="165" t="s">
        <v>41</v>
      </c>
      <c r="F565" s="165" t="s">
        <v>41</v>
      </c>
      <c r="G565" s="166" t="s">
        <v>41</v>
      </c>
      <c r="H565" s="46">
        <v>45341</v>
      </c>
      <c r="I565" s="41">
        <v>0</v>
      </c>
      <c r="J565" s="41">
        <v>7661</v>
      </c>
      <c r="K565" s="43" t="s">
        <v>34</v>
      </c>
      <c r="L565" s="41">
        <v>0</v>
      </c>
      <c r="M565" s="41" t="s">
        <v>35</v>
      </c>
      <c r="N565" s="37">
        <f ca="1" t="shared" si="30"/>
        <v>30.3666666666667</v>
      </c>
      <c r="O565" s="47">
        <v>46357</v>
      </c>
      <c r="P565" s="41">
        <f>J565</f>
        <v>7661</v>
      </c>
      <c r="Q565" s="42" t="s">
        <v>43</v>
      </c>
      <c r="R565" s="41" t="s">
        <v>794</v>
      </c>
      <c r="S565" s="48" t="s">
        <v>45</v>
      </c>
      <c r="T565" s="49"/>
    </row>
    <row r="566" ht="32.25" customHeight="1" spans="1:20">
      <c r="A566" s="117"/>
      <c r="B566" s="79" t="s">
        <v>28</v>
      </c>
      <c r="C566" s="118" t="s">
        <v>49</v>
      </c>
      <c r="D566" s="79" t="s">
        <v>142</v>
      </c>
      <c r="E566" s="67" t="s">
        <v>31</v>
      </c>
      <c r="F566" s="67" t="s">
        <v>241</v>
      </c>
      <c r="G566" s="80" t="s">
        <v>290</v>
      </c>
      <c r="H566" s="76">
        <v>46167</v>
      </c>
      <c r="I566" s="65"/>
      <c r="J566" s="82">
        <v>129101.39</v>
      </c>
      <c r="K566" s="70"/>
      <c r="L566" s="65"/>
      <c r="M566" s="82" t="s">
        <v>47</v>
      </c>
      <c r="N566" s="37">
        <f ca="1" t="shared" si="30"/>
        <v>2.83333333333333</v>
      </c>
      <c r="O566" s="57" t="s">
        <v>52</v>
      </c>
      <c r="P566" s="65">
        <v>129101.39</v>
      </c>
      <c r="Q566" s="66" t="s">
        <v>53</v>
      </c>
      <c r="R566" s="82" t="s">
        <v>795</v>
      </c>
      <c r="S566" s="5"/>
    </row>
    <row r="567" ht="36.75" customHeight="1" spans="1:20">
      <c r="A567" s="119" t="s">
        <v>24</v>
      </c>
      <c r="B567" s="120"/>
      <c r="C567" s="24"/>
      <c r="D567" s="121"/>
      <c r="E567" s="27"/>
      <c r="F567" s="27"/>
      <c r="G567" s="20"/>
      <c r="H567" s="28"/>
      <c r="I567" s="121"/>
      <c r="J567" s="122">
        <f>SUM(J4:J566)</f>
        <v>14230027.96</v>
      </c>
      <c r="K567" s="121"/>
      <c r="L567" s="121"/>
      <c r="M567" s="121"/>
      <c r="N567" s="123"/>
      <c r="O567" s="121"/>
      <c r="P567" s="121"/>
      <c r="Q567" s="124"/>
      <c r="R567" s="121"/>
      <c r="S567" s="5"/>
    </row>
    <row r="568" spans="1:20">
      <c r="A568" s="125" t="s">
        <v>796</v>
      </c>
      <c r="B568" s="125"/>
      <c r="C568" s="125"/>
      <c r="D568" s="125"/>
      <c r="E568" s="126"/>
      <c r="F568" s="126"/>
      <c r="G568" s="12"/>
      <c r="H568" s="13"/>
      <c r="J568" s="9"/>
      <c r="N568" s="14"/>
      <c r="R568" s="9"/>
      <c r="S568" s="5"/>
    </row>
    <row r="569" spans="1:20">
      <c r="A569" s="125"/>
      <c r="B569" s="125"/>
      <c r="C569" s="125"/>
      <c r="D569" s="125"/>
      <c r="E569" s="126"/>
      <c r="F569" s="126"/>
      <c r="G569" s="12"/>
      <c r="H569" s="13"/>
      <c r="J569" s="9"/>
      <c r="N569" s="14"/>
      <c r="R569" s="9"/>
      <c r="S569" s="5"/>
    </row>
  </sheetData>
  <sortState ref="A3:M772">
    <sortCondition ref="H5"/>
  </sortState>
  <mergeCells count="13">
    <mergeCell ref="E2:H2"/>
    <mergeCell ref="I2:J2"/>
    <mergeCell ref="K2:L2"/>
    <mergeCell ref="O2:P2"/>
    <mergeCell ref="A2:A3"/>
    <mergeCell ref="B2:B3"/>
    <mergeCell ref="C2:C3"/>
    <mergeCell ref="D2:D3"/>
    <mergeCell ref="M2:M3"/>
    <mergeCell ref="N2:N3"/>
    <mergeCell ref="Q2:Q3"/>
    <mergeCell ref="R2:R3"/>
    <mergeCell ref="S2:S3"/>
  </mergeCells>
  <conditionalFormatting sqref="R341">
    <cfRule type="duplicateValues" dxfId="0" priority="188"/>
  </conditionalFormatting>
  <conditionalFormatting sqref="R363">
    <cfRule type="duplicateValues" dxfId="0" priority="1"/>
  </conditionalFormatting>
  <conditionalFormatting sqref="R364">
    <cfRule type="duplicateValues" dxfId="0" priority="2"/>
  </conditionalFormatting>
  <conditionalFormatting sqref="R422">
    <cfRule type="duplicateValues" dxfId="0" priority="194"/>
  </conditionalFormatting>
  <conditionalFormatting sqref="R460">
    <cfRule type="duplicateValues" dxfId="0" priority="150"/>
  </conditionalFormatting>
  <conditionalFormatting sqref="R$1:R$1048576">
    <cfRule type="duplicateValues" dxfId="0" priority="351"/>
  </conditionalFormatting>
  <conditionalFormatting sqref="R330:R331">
    <cfRule type="duplicateValues" dxfId="0" priority="186"/>
  </conditionalFormatting>
  <conditionalFormatting sqref="R332:R333">
    <cfRule type="duplicateValues" dxfId="0" priority="187"/>
  </conditionalFormatting>
  <conditionalFormatting sqref="R334:R337">
    <cfRule type="duplicateValues" dxfId="0" priority="161"/>
  </conditionalFormatting>
  <conditionalFormatting sqref="R338:R340">
    <cfRule type="duplicateValues" dxfId="0" priority="162"/>
  </conditionalFormatting>
  <conditionalFormatting sqref="R342:R345">
    <cfRule type="duplicateValues" dxfId="0" priority="163"/>
  </conditionalFormatting>
  <conditionalFormatting sqref="R346:R348">
    <cfRule type="duplicateValues" dxfId="0" priority="164"/>
  </conditionalFormatting>
  <conditionalFormatting sqref="R349:R351">
    <cfRule type="duplicateValues" dxfId="0" priority="165"/>
  </conditionalFormatting>
  <conditionalFormatting sqref="R352:R354">
    <cfRule type="duplicateValues" dxfId="0" priority="166"/>
  </conditionalFormatting>
  <conditionalFormatting sqref="R355:R358">
    <cfRule type="duplicateValues" dxfId="0" priority="167"/>
  </conditionalFormatting>
  <conditionalFormatting sqref="R359:R360">
    <cfRule type="duplicateValues" dxfId="0" priority="168"/>
  </conditionalFormatting>
  <conditionalFormatting sqref="R361:R362">
    <cfRule type="duplicateValues" dxfId="0" priority="169"/>
  </conditionalFormatting>
  <conditionalFormatting sqref="R365:R368">
    <cfRule type="duplicateValues" dxfId="0" priority="170"/>
  </conditionalFormatting>
  <conditionalFormatting sqref="R369:R372">
    <cfRule type="duplicateValues" dxfId="0" priority="171"/>
  </conditionalFormatting>
  <conditionalFormatting sqref="R373:R376">
    <cfRule type="duplicateValues" dxfId="0" priority="172"/>
  </conditionalFormatting>
  <conditionalFormatting sqref="R377:R379">
    <cfRule type="duplicateValues" dxfId="0" priority="173"/>
  </conditionalFormatting>
  <conditionalFormatting sqref="R380:R383">
    <cfRule type="duplicateValues" dxfId="0" priority="174"/>
  </conditionalFormatting>
  <conditionalFormatting sqref="R384:R387">
    <cfRule type="duplicateValues" dxfId="0" priority="175"/>
  </conditionalFormatting>
  <conditionalFormatting sqref="R388:R391">
    <cfRule type="duplicateValues" dxfId="0" priority="176"/>
  </conditionalFormatting>
  <conditionalFormatting sqref="R392:R395">
    <cfRule type="duplicateValues" dxfId="0" priority="177"/>
  </conditionalFormatting>
  <conditionalFormatting sqref="R396:R398">
    <cfRule type="duplicateValues" dxfId="0" priority="178"/>
  </conditionalFormatting>
  <conditionalFormatting sqref="R399:R401">
    <cfRule type="duplicateValues" dxfId="0" priority="179"/>
  </conditionalFormatting>
  <conditionalFormatting sqref="R402:R403">
    <cfRule type="duplicateValues" dxfId="0" priority="180"/>
  </conditionalFormatting>
  <conditionalFormatting sqref="R404:R407">
    <cfRule type="duplicateValues" dxfId="0" priority="181"/>
  </conditionalFormatting>
  <conditionalFormatting sqref="R408:R410">
    <cfRule type="duplicateValues" dxfId="0" priority="182"/>
  </conditionalFormatting>
  <conditionalFormatting sqref="R411:R413">
    <cfRule type="duplicateValues" dxfId="0" priority="183"/>
  </conditionalFormatting>
  <conditionalFormatting sqref="R414:R416">
    <cfRule type="duplicateValues" dxfId="0" priority="185"/>
  </conditionalFormatting>
  <conditionalFormatting sqref="R417:R421">
    <cfRule type="duplicateValues" dxfId="0" priority="153"/>
  </conditionalFormatting>
  <conditionalFormatting sqref="R417:R425">
    <cfRule type="duplicateValues" dxfId="0" priority="193"/>
  </conditionalFormatting>
  <conditionalFormatting sqref="R423:R425">
    <cfRule type="duplicateValues" dxfId="0" priority="154"/>
  </conditionalFormatting>
  <conditionalFormatting sqref="R426:R437">
    <cfRule type="duplicateValues" dxfId="0" priority="155"/>
  </conditionalFormatting>
  <conditionalFormatting sqref="R426:R431">
    <cfRule type="duplicateValues" dxfId="0" priority="157"/>
  </conditionalFormatting>
  <conditionalFormatting sqref="R432:R434">
    <cfRule type="duplicateValues" dxfId="0" priority="156"/>
  </conditionalFormatting>
  <conditionalFormatting sqref="R435:R437">
    <cfRule type="duplicateValues" dxfId="0" priority="158"/>
  </conditionalFormatting>
  <conditionalFormatting sqref="R438:R441">
    <cfRule type="duplicateValues" dxfId="0" priority="160"/>
  </conditionalFormatting>
  <conditionalFormatting sqref="R438:R447">
    <cfRule type="duplicateValues" dxfId="0" priority="190"/>
  </conditionalFormatting>
  <conditionalFormatting sqref="R442:R444">
    <cfRule type="duplicateValues" dxfId="0" priority="159"/>
  </conditionalFormatting>
  <conditionalFormatting sqref="R445:R447">
    <cfRule type="duplicateValues" dxfId="0" priority="191"/>
  </conditionalFormatting>
  <conditionalFormatting sqref="R448:R452">
    <cfRule type="duplicateValues" dxfId="0" priority="144"/>
  </conditionalFormatting>
  <conditionalFormatting sqref="R453:R456">
    <cfRule type="duplicateValues" dxfId="0" priority="146"/>
  </conditionalFormatting>
  <conditionalFormatting sqref="R457:R459">
    <cfRule type="duplicateValues" dxfId="0" priority="149"/>
  </conditionalFormatting>
  <conditionalFormatting sqref="R457:R460">
    <cfRule type="duplicateValues" dxfId="0" priority="148"/>
  </conditionalFormatting>
  <conditionalFormatting sqref="R461:R465">
    <cfRule type="duplicateValues" dxfId="0" priority="344"/>
  </conditionalFormatting>
  <conditionalFormatting sqref="R466:R468">
    <cfRule type="duplicateValues" dxfId="0" priority="315"/>
  </conditionalFormatting>
  <conditionalFormatting sqref="R469:R471">
    <cfRule type="duplicateValues" dxfId="0" priority="326"/>
  </conditionalFormatting>
  <conditionalFormatting sqref="R472:R475">
    <cfRule type="duplicateValues" dxfId="0" priority="56"/>
  </conditionalFormatting>
  <conditionalFormatting sqref="R476:R478">
    <cfRule type="duplicateValues" dxfId="0" priority="338"/>
  </conditionalFormatting>
  <conditionalFormatting sqref="R479:R481">
    <cfRule type="duplicateValues" dxfId="0" priority="62"/>
  </conditionalFormatting>
  <conditionalFormatting sqref="R482:R485">
    <cfRule type="duplicateValues" dxfId="0" priority="65"/>
  </conditionalFormatting>
  <conditionalFormatting sqref="R486:R489">
    <cfRule type="duplicateValues" dxfId="0" priority="68"/>
  </conditionalFormatting>
  <conditionalFormatting sqref="R490:R493">
    <cfRule type="duplicateValues" dxfId="0" priority="71"/>
  </conditionalFormatting>
  <conditionalFormatting sqref="R494:R497">
    <cfRule type="duplicateValues" dxfId="0" priority="74"/>
  </conditionalFormatting>
  <conditionalFormatting sqref="R498:R501">
    <cfRule type="duplicateValues" dxfId="0" priority="77"/>
  </conditionalFormatting>
  <conditionalFormatting sqref="R502:R505">
    <cfRule type="duplicateValues" dxfId="0" priority="80"/>
  </conditionalFormatting>
  <conditionalFormatting sqref="R506:R509">
    <cfRule type="duplicateValues" dxfId="0" priority="83"/>
  </conditionalFormatting>
  <conditionalFormatting sqref="R510:R513">
    <cfRule type="duplicateValues" dxfId="0" priority="86"/>
  </conditionalFormatting>
  <conditionalFormatting sqref="R514:R517">
    <cfRule type="duplicateValues" dxfId="0" priority="89"/>
  </conditionalFormatting>
  <conditionalFormatting sqref="R518:R521">
    <cfRule type="duplicateValues" dxfId="0" priority="92"/>
  </conditionalFormatting>
  <conditionalFormatting sqref="R522:R524">
    <cfRule type="duplicateValues" dxfId="0" priority="95"/>
  </conditionalFormatting>
  <conditionalFormatting sqref="R525:R528">
    <cfRule type="duplicateValues" dxfId="0" priority="98"/>
  </conditionalFormatting>
  <conditionalFormatting sqref="R529:R532">
    <cfRule type="duplicateValues" dxfId="0" priority="101"/>
  </conditionalFormatting>
  <conditionalFormatting sqref="R533:R535">
    <cfRule type="duplicateValues" dxfId="0" priority="104"/>
  </conditionalFormatting>
  <conditionalFormatting sqref="R536:R539">
    <cfRule type="duplicateValues" dxfId="0" priority="107"/>
  </conditionalFormatting>
  <conditionalFormatting sqref="R540:R543">
    <cfRule type="duplicateValues" dxfId="0" priority="110"/>
  </conditionalFormatting>
  <conditionalFormatting sqref="R544:R547">
    <cfRule type="duplicateValues" dxfId="0" priority="113"/>
  </conditionalFormatting>
  <conditionalFormatting sqref="R548:R551">
    <cfRule type="duplicateValues" dxfId="0" priority="116"/>
  </conditionalFormatting>
  <conditionalFormatting sqref="R552:R554">
    <cfRule type="duplicateValues" dxfId="0" priority="119"/>
  </conditionalFormatting>
  <conditionalFormatting sqref="R555:R558">
    <cfRule type="duplicateValues" dxfId="0" priority="122"/>
  </conditionalFormatting>
  <conditionalFormatting sqref="R559:R561">
    <cfRule type="duplicateValues" dxfId="0" priority="125"/>
  </conditionalFormatting>
  <conditionalFormatting sqref="R562:R566">
    <cfRule type="duplicateValues" dxfId="0" priority="128"/>
  </conditionalFormatting>
  <conditionalFormatting sqref="R1:R18 T18 R19:R329 R567:R569">
    <cfRule type="duplicateValues" dxfId="0" priority="184"/>
  </conditionalFormatting>
  <conditionalFormatting sqref="R1:R447 R567:R569">
    <cfRule type="duplicateValues" dxfId="0" priority="192"/>
  </conditionalFormatting>
  <conditionalFormatting sqref="R1:R18 T18 R19:R416 R567:R569">
    <cfRule type="duplicateValues" dxfId="0" priority="189"/>
  </conditionalFormatting>
  <conditionalFormatting sqref="R1:R465 R567:R569">
    <cfRule type="duplicateValues" dxfId="0" priority="34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上交-未到账</vt:lpstr>
      <vt:lpstr>截止2026.5月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yanrongli</dc:creator>
  <cp:lastModifiedBy>一路向西</cp:lastModifiedBy>
  <dcterms:created xsi:type="dcterms:W3CDTF">2026-04-09T02:38:00Z</dcterms:created>
  <dcterms:modified xsi:type="dcterms:W3CDTF">2026-08-18T15:05:08Z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48A719F760FE48FB957EB52A27D0325D_13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